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aa046d026708bb3c/Documents/Desktop/EXCEL/"/>
    </mc:Choice>
  </mc:AlternateContent>
  <xr:revisionPtr revIDLastSave="1321" documentId="8_{D43E871D-52A1-4DF4-BF0A-C022C553AB55}" xr6:coauthVersionLast="47" xr6:coauthVersionMax="47" xr10:uidLastSave="{14E1806D-2789-4999-B149-744B053D3919}"/>
  <bookViews>
    <workbookView xWindow="-108" yWindow="-108" windowWidth="23256" windowHeight="13176" xr2:uid="{81D512C5-DFD0-45A9-BA7A-3679803E1A90}"/>
  </bookViews>
  <sheets>
    <sheet name="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<sst xmlns="http://schemas.openxmlformats.org/spreadsheetml/2006/main" count="463" uniqueCount="308">
  <si>
    <t>Emp Code</t>
  </si>
  <si>
    <t>Sales Executive</t>
  </si>
  <si>
    <t>Region</t>
  </si>
  <si>
    <t>Day1</t>
  </si>
  <si>
    <t>Day2</t>
  </si>
  <si>
    <t>Day3</t>
  </si>
  <si>
    <t>Day4</t>
  </si>
  <si>
    <t>Day5</t>
  </si>
  <si>
    <t>Total Sales</t>
  </si>
  <si>
    <t>Target</t>
  </si>
  <si>
    <t>Target Hit %</t>
  </si>
  <si>
    <t>Away From Target %</t>
  </si>
  <si>
    <t>Mum-TCL001</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</si>
  <si>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</si>
  <si>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</si>
  <si>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</si>
  <si>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</si>
  <si>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</si>
  <si>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</si>
  <si>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</si>
  <si>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</si>
  <si>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</si>
  <si>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</si>
  <si>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</si>
  <si>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</si>
  <si>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</si>
  <si>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</si>
  <si>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</si>
  <si>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</si>
  <si>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</si>
  <si>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</si>
  <si>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</si>
  <si>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</si>
  <si>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</si>
  <si>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</si>
  <si>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</si>
  <si>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</si>
  <si>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</si>
  <si>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</si>
  <si>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</si>
  <si>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</si>
  <si>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</si>
  <si>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</si>
  <si>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</si>
  <si>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</si>
  <si>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</si>
  <si>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</si>
  <si>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</si>
  <si>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</si>
  <si>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</si>
  <si>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</si>
  <si>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</si>
  <si>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</si>
  <si>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</si>
  <si>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</si>
  <si>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</si>
  <si>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</si>
  <si>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</si>
  <si>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</si>
  <si>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</si>
  <si>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</si>
  <si>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</si>
  <si>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</si>
  <si>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</si>
  <si>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</si>
  <si>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</si>
  <si>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</si>
  <si>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</si>
  <si>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</si>
  <si>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</si>
  <si>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</si>
  <si>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</si>
  <si>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</si>
  <si>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</si>
  <si>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</si>
  <si>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</si>
  <si>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</si>
  <si>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</si>
  <si>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</si>
  <si>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</si>
  <si>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</si>
  <si>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</si>
  <si>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</si>
  <si>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</si>
  <si>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</si>
  <si>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</si>
  <si>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</si>
  <si>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</si>
  <si>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</si>
  <si>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</si>
  <si>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</si>
  <si>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</si>
  <si>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</si>
  <si>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</si>
  <si>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</si>
  <si>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</si>
  <si>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</si>
  <si>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</si>
  <si>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</si>
  <si>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</si>
  <si>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</si>
  <si>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</si>
  <si>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</si>
  <si>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</si>
  <si>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</si>
  <si>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</si>
  <si>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</si>
  <si>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</si>
  <si>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</si>
  <si>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</si>
  <si>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</si>
  <si>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</si>
  <si>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</si>
  <si>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</si>
  <si>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</si>
  <si>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</si>
  <si>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</si>
  <si>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</si>
  <si>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</si>
  <si>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</si>
  <si>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</si>
  <si>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</si>
  <si>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</si>
  <si>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</si>
  <si>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</si>
  <si>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</si>
  <si>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</si>
  <si>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</si>
  <si>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</si>
  <si>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</si>
  <si>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</si>
  <si>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</si>
  <si>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</si>
  <si>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</si>
  <si>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</si>
  <si>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</si>
  <si>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</si>
  <si>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</si>
  <si>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</si>
  <si>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</si>
  <si>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</si>
  <si>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</si>
  <si>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</si>
  <si>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</si>
  <si>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</si>
  <si>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</si>
  <si>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</si>
  <si>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</si>
  <si>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</si>
  <si>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</si>
  <si>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</si>
  <si>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</si>
  <si>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</si>
  <si>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</si>
  <si>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</si>
  <si>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</si>
  <si>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</si>
  <si>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</si>
  <si>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</si>
  <si>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</si>
  <si>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</si>
  <si>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</si>
  <si>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</si>
  <si>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</si>
  <si>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</si>
  <si>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</si>
  <si>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</si>
  <si>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</si>
  <si>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</si>
  <si>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</si>
  <si>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</si>
  <si>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</si>
  <si>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</si>
  <si>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</si>
  <si>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</si>
  <si>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</si>
  <si>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</si>
  <si>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</si>
  <si>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</si>
  <si>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</si>
  <si>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</si>
  <si>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</si>
  <si>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</si>
  <si>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</si>
  <si>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</si>
  <si>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</si>
  <si>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</si>
  <si>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</si>
  <si>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</si>
  <si>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</si>
  <si>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</si>
  <si>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</si>
  <si>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</si>
  <si>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</si>
  <si>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</si>
  <si>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</si>
  <si>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</si>
  <si>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</si>
  <si>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</si>
  <si>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</si>
  <si>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</si>
  <si>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</si>
  <si>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</si>
  <si>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</si>
  <si>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</si>
  <si>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</si>
  <si>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</si>
  <si>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</si>
  <si>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</si>
  <si>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</si>
  <si>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</si>
  <si>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</si>
  <si>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</si>
  <si>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</si>
  <si>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</si>
  <si>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</si>
  <si>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</si>
  <si>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</si>
  <si>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</si>
  <si>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</si>
  <si>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</si>
  <si>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</si>
  <si>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</si>
  <si>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</si>
  <si>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</si>
  <si>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</si>
  <si>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</si>
  <si>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</si>
  <si>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</si>
  <si>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</si>
  <si>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</si>
  <si>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</si>
  <si>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</si>
  <si>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</si>
  <si>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</si>
  <si>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</si>
  <si>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</si>
  <si>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</si>
  <si>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</si>
  <si>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</si>
  <si>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</si>
  <si>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</si>
  <si>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</si>
  <si>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</si>
  <si>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</si>
  <si>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</si>
  <si>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</si>
  <si>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</si>
  <si>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</si>
  <si>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</si>
  <si>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</si>
  <si>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</si>
  <si>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</si>
  <si>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</si>
  <si>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</si>
  <si>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</si>
  <si>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</si>
  <si>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</si>
  <si>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</si>
  <si>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</si>
  <si>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</si>
  <si>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</si>
  <si>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</si>
  <si>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</si>
  <si>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</si>
  <si>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</si>
  <si>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</si>
  <si>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</si>
  <si>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</si>
  <si>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</si>
  <si>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</si>
  <si>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</si>
  <si>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</si>
  <si>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</si>
  <si>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</si>
  <si>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</si>
  <si>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</si>
  <si>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</si>
  <si>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</si>
  <si>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</si>
  <si>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</si>
  <si>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</si>
  <si>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</si>
  <si>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</si>
  <si>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</si>
  <si>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</si>
  <si>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</si>
  <si>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</si>
  <si>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</si>
  <si>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</si>
  <si>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</si>
  <si>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</si>
  <si>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</si>
  <si>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</si>
  <si>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</si>
  <si>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</si>
  <si>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</si>
  <si>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</si>
  <si>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</si>
  <si>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</si>
  <si>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</si>
  <si>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</si>
  <si>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Exicutive</t>
  </si>
  <si>
    <t>Salees Exicutive</t>
  </si>
  <si>
    <t xml:space="preserve">Total Sales  </t>
  </si>
  <si>
    <t xml:space="preserve">Target Hit % </t>
  </si>
  <si>
    <t xml:space="preserve">Away From Target % </t>
  </si>
  <si>
    <t>HEMANTHA BM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</si>
</sst>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Alignment="1">
      <alignment horizontal="center"/>
    </xf>
  </cellXfs>
  <cellStyles count="2">
    <cellStyle name="Normal" xfId="0" builtinId="0"/>
    <cellStyle name="Percent" xfId="1" builtinId="5"/>
  </cellStyles>
  <dxfs count="6">
    <dxf>
      <alignment horizontal="center"/>
    </dxf>
    <dxf>
      <alignment horizontal="center"/>
    </dxf>
    <dxf>
      <alignment horizontal="center"/>
    </dxf>
    <dxf>
      <alignment horizontal="center"/>
    </dxf>
    <dxf>
      <font>
        <color theme="0" tint="-0.24994659260841701"/>
      </font>
    </dxf>
    <dxf>
      <font>
        <b/>
        <i val="0"/>
        <color theme="1" tint="0.24994659260841701"/>
      </font>
      <fill>
        <patternFill>
          <bgColor theme="0" tint="-0.24994659260841701"/>
        </patternFill>
      </fill>
    </dxf>
  </dxfs>
  <tableStyles count="2" defaultTableStyle="TableStyleMedium2" defaultPivotStyle="PivotStyleLight16">
    <tableStyle name="Slicer Style 1" pivot="0" table="0" count="5" xr9:uid="{17EF5ED5-5FB7-4E09-A385-A5B61C16B0B7}">
      <tableStyleElement type="wholeTable" dxfId="5"/>
    </tableStyle>
    <tableStyle name="Slicer Style 2" pivot="0" table="0" count="1" xr9:uid="{0F66E1F1-4431-441E-84E5-48014E631BF5}">
      <tableStyleElement type="wholeTable" dxfId="4"/>
    </tableStyle>
  </tableStyles>
  <colors>
    <mruColors>
      <color rgb="FFF88774"/>
    </mruColors>
  </colors>
  <extLst>
    <ext xmlns:x14="http://schemas.microsoft.com/office/spreadsheetml/2009/9/main" uri="{46F421CA-312F-682f-3DD2-61675219B42D}">
      <x14:dxfs count="4">
        <dxf>
          <font>
            <color theme="8" tint="-0.499984740745262"/>
          </font>
          <fill>
            <gradientFill degree="90">
              <stop position="0">
                <color rgb="FFEE0000"/>
              </stop>
              <stop position="1">
                <color rgb="FFF88774"/>
              </stop>
            </gradientFill>
          </fill>
        </dxf>
        <dxf>
          <font>
            <color auto="1"/>
          </font>
          <fill>
            <gradientFill degree="270">
              <stop position="0">
                <color rgb="FF0070C0"/>
              </stop>
              <stop position="1">
                <color theme="4" tint="0.80001220740379042"/>
              </stop>
            </gradientFill>
          </fill>
        </dxf>
        <dxf>
          <fill>
            <gradientFill degree="90">
              <stop position="0">
                <color rgb="FFEE0000"/>
              </stop>
              <stop position="1">
                <color rgb="FFF88774"/>
              </stop>
            </gradientFill>
          </fill>
        </dxf>
        <dxf>
          <fill>
            <gradientFill degree="270">
              <stop position="0">
                <color rgb="FFFFFF00"/>
              </stop>
              <stop position="1">
                <color theme="7" tint="0.80001220740379042"/>
              </stop>
            </gradient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solidFill>
            <a:schemeClr val="accent1"/>
          </a:solidFill>
          <a:ln>
            <a:noFill/>
          </a:ln>
          <a:effectLst/>
        </c:spPr>
        <c:marker>
          <c:symbol val="none"/>
        </c:marker>
        <c:dLbl>
          <c:idx val="0"/>
          <c:spPr>
            <a:gradFill rotWithShape="1">
              <a:gsLst>
                <a:gs pos="0">
                  <a:srgbClr val="ED7D31">
                    <a:lumMod val="110000"/>
                    <a:satMod val="105000"/>
                    <a:tint val="67000"/>
                  </a:srgbClr>
                </a:gs>
                <a:gs pos="50000">
                  <a:srgbClr val="ED7D31">
                    <a:lumMod val="105000"/>
                    <a:satMod val="103000"/>
                    <a:tint val="73000"/>
                  </a:srgbClr>
                </a:gs>
                <a:gs pos="100000">
                  <a:srgbClr val="ED7D31">
                    <a:lumMod val="105000"/>
                    <a:satMod val="109000"/>
                    <a:tint val="81000"/>
                  </a:srgbClr>
                </a:gs>
              </a:gsLst>
              <a:lin ang="5400000" scaled="0"/>
            </a:gradFill>
            <a:ln w="6350" cap="flat" cmpd="sng" algn="ctr">
              <a:solidFill>
                <a:srgbClr val="ED7D31"/>
              </a:solidFill>
              <a:prstDash val="solid"/>
              <a:miter lim="800000"/>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7030A0"/>
                  </a:solidFill>
                  <a:latin typeface="+mn-lt"/>
                  <a:ea typeface="+mn-ea"/>
                  <a:cs typeface="+mn-cs"/>
                </a:defRPr>
              </a:pPr>
              <a:endParaRPr lang="en-US"/>
            </a:p>
          </c:txPr>
          <c:dLblPos val="inEnd"/>
          <c:showLegendKey val="1"/>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DASHBOARD!$C$3</c:f>
              <c:strCache>
                <c:ptCount val="1"/>
                <c:pt idx="0">
                  <c:v>Total</c:v>
                </c:pt>
              </c:strCache>
            </c:strRef>
          </c:tx>
          <c:spPr>
            <a:solidFill>
              <a:schemeClr val="accent1"/>
            </a:solidFill>
            <a:ln>
              <a:noFill/>
            </a:ln>
            <a:effectLst/>
          </c:spPr>
          <c:invertIfNegative val="0"/>
          <c:dLbls>
            <c:spPr>
              <a:gradFill rotWithShape="1">
                <a:gsLst>
                  <a:gs pos="0">
                    <a:srgbClr val="ED7D31">
                      <a:lumMod val="110000"/>
                      <a:satMod val="105000"/>
                      <a:tint val="67000"/>
                    </a:srgbClr>
                  </a:gs>
                  <a:gs pos="50000">
                    <a:srgbClr val="ED7D31">
                      <a:lumMod val="105000"/>
                      <a:satMod val="103000"/>
                      <a:tint val="73000"/>
                    </a:srgbClr>
                  </a:gs>
                  <a:gs pos="100000">
                    <a:srgbClr val="ED7D31">
                      <a:lumMod val="105000"/>
                      <a:satMod val="109000"/>
                      <a:tint val="81000"/>
                    </a:srgbClr>
                  </a:gs>
                </a:gsLst>
                <a:lin ang="5400000" scaled="0"/>
              </a:gradFill>
              <a:ln w="6350" cap="flat" cmpd="sng" algn="ctr">
                <a:solidFill>
                  <a:srgbClr val="ED7D31"/>
                </a:solidFill>
                <a:prstDash val="solid"/>
                <a:miter lim="800000"/>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7030A0"/>
                    </a:solidFill>
                    <a:latin typeface="+mn-lt"/>
                    <a:ea typeface="+mn-ea"/>
                    <a:cs typeface="+mn-cs"/>
                  </a:defRPr>
                </a:pPr>
                <a:endParaRPr lang="en-US"/>
              </a:p>
            </c:txPr>
            <c:dLblPos val="inEnd"/>
            <c:showLegendKey val="1"/>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DASHBOARD!$B$4:$B$8</c:f>
              <c:strCache>
                <c:ptCount val="5"/>
                <c:pt idx="0">
                  <c:v>Janardan Mishra</c:v>
                </c:pt>
                <c:pt idx="1">
                  <c:v>Kamini Kumar</c:v>
                </c:pt>
                <c:pt idx="2">
                  <c:v>Rekha Agarwal</c:v>
                </c:pt>
                <c:pt idx="3">
                  <c:v>Saroj Parita</c:v>
                </c:pt>
                <c:pt idx="4">
                  <c:v>Shivji Prasad</c:v>
                </c:pt>
              </c:strCache>
            </c:strRef>
          </c:cat>
          <c:val>
            <c:numRef>
              <c:f>DASHBOARD!$C$4:$C$8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0C39-45D8-8D4F-2179FCF6969D}"/>
            </c:ext>
          </c:extLst>
        </c:ser>
        <c:dLbls>
          <c:showLegendKey val="0"/>
          <c:showVal val="0"/>
          <c:showCatName val="0"/>
          <c:showSerName val="0"/>
          <c:showPercent val="0"/>
          <c:showBubbleSize val="0"/>
        </c:dLbls>
        <c:gapWidth val="182"/>
        <c:axId val="1970475823"/>
        <c:axId val="1970476303"/>
      </c:barChart>
      <c:catAx>
        <c:axId val="1970475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1970476303"/>
        <c:crosses val="autoZero"/>
        <c:auto val="1"/>
        <c:lblAlgn val="ctr"/>
        <c:lblOffset val="100"/>
        <c:noMultiLvlLbl val="0"/>
      </c:catAx>
      <c:valAx>
        <c:axId val="1970476303"/>
        <c:scaling>
          <c:orientation val="minMax"/>
        </c:scaling>
        <c:delete val="1"/>
        <c:axPos val="b"/>
        <c:numFmt formatCode="General" sourceLinked="1"/>
        <c:majorTickMark val="none"/>
        <c:minorTickMark val="none"/>
        <c:tickLblPos val="nextTo"/>
        <c:crossAx val="1970475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alpha val="0"/>
      </a:schemeClr>
    </a:solidFill>
    <a:ln w="9525" cap="flat" cmpd="sng" algn="ctr">
      <a:solidFill>
        <a:schemeClr val="accent1">
          <a:lumMod val="60000"/>
          <a:lumOff val="40000"/>
          <a:alpha val="0"/>
        </a:schemeClr>
      </a:solidFill>
      <a:round/>
    </a:ln>
    <a:effectLst/>
  </c:spPr>
  <c:txPr>
    <a:bodyPr/>
    <a:lstStyle/>
    <a:p>
      <a:pPr>
        <a:defRPr>
          <a:solidFill>
            <a:srgbClr val="7030A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Excel.xlsm]DASHBOARD!PivotTable6</c:name>
    <c:fmtId val="0"/>
  </c:pivotSource>
  <c:chart>
    <c:autoTitleDeleted val="1"/>
    <c:pivotFmts>
      <c:pivotFmt>
        <c:idx val="0"/>
        <c:spPr>
          <a:solidFill>
            <a:schemeClr val="accent1"/>
          </a:solidFill>
          <a:ln>
            <a:noFill/>
          </a:ln>
          <a:effectLst>
            <a:outerShdw blurRad="152400" dist="317500" dir="5400000" sx="90000" sy="-19000" rotWithShape="0">
              <a:prstClr val="black">
                <a:alpha val="15000"/>
              </a:prstClr>
            </a:outerShdw>
            <a:softEdge rad="0"/>
          </a:effectLst>
        </c:spPr>
        <c:marker>
          <c:symbol val="none"/>
        </c:marker>
        <c:dLbl>
          <c:idx val="0"/>
          <c:spPr>
            <a:solidFill>
              <a:sysClr val="windowText" lastClr="000000">
                <a:lumMod val="75000"/>
                <a:lumOff val="25000"/>
                <a:alpha val="0"/>
              </a:sysClr>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800" b="1" i="0" u="none" strike="noStrike" kern="1200" baseline="0">
                  <a:solidFill>
                    <a:schemeClr val="tx1">
                      <a:lumMod val="85000"/>
                      <a:lumOff val="1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dLbl>
          <c:idx val="0"/>
          <c:spPr>
            <a:solidFill>
              <a:sysClr val="windowText" lastClr="000000">
                <a:lumMod val="75000"/>
                <a:lumOff val="25000"/>
                <a:alpha val="0"/>
              </a:sysClr>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0">
              <a:noAutofit/>
            </a:bodyPr>
            <a:lstStyle/>
            <a:p>
              <a:pPr>
                <a:defRPr sz="800" b="1" i="0" u="none" strike="noStrike" kern="1200" baseline="0">
                  <a:solidFill>
                    <a:schemeClr val="tx1">
                      <a:lumMod val="95000"/>
                      <a:lumOff val="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0413117638224373"/>
                  <c:h val="0.22410964474511108"/>
                </c:manualLayout>
              </c15:layout>
            </c:ext>
          </c:extLst>
        </c:dLbl>
      </c:pivotFmt>
      <c:pivotFmt>
        <c:idx val="2"/>
        <c:dLbl>
          <c:idx val="0"/>
          <c:spPr>
            <a:solidFill>
              <a:sysClr val="windowText" lastClr="000000">
                <a:lumMod val="75000"/>
                <a:lumOff val="25000"/>
                <a:alpha val="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a:outerShdw blurRad="152400" dist="317500" dir="5400000" sx="90000" sy="-19000" rotWithShape="0">
              <a:prstClr val="black">
                <a:alpha val="15000"/>
              </a:prstClr>
            </a:outerShdw>
            <a:softEdge rad="0"/>
          </a:effectLst>
        </c:spPr>
        <c:dLbl>
          <c:idx val="0"/>
          <c:spPr>
            <a:solidFill>
              <a:sysClr val="windowText" lastClr="000000">
                <a:lumMod val="75000"/>
                <a:lumOff val="25000"/>
                <a:alpha val="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dLbl>
          <c:idx val="0"/>
          <c:spPr>
            <a:solidFill>
              <a:sysClr val="windowText" lastClr="000000">
                <a:lumMod val="75000"/>
                <a:lumOff val="25000"/>
                <a:alpha val="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a:outerShdw blurRad="152400" dist="317500" dir="5400000" sx="90000" sy="-19000" rotWithShape="0">
              <a:prstClr val="black">
                <a:alpha val="15000"/>
              </a:prstClr>
            </a:outerShdw>
            <a:softEdge rad="0"/>
          </a:effectLst>
        </c:spPr>
        <c:dLbl>
          <c:idx val="0"/>
          <c:spPr>
            <a:solidFill>
              <a:sysClr val="windowText" lastClr="000000">
                <a:lumMod val="75000"/>
                <a:lumOff val="25000"/>
                <a:alpha val="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a:outerShdw blurRad="152400" dist="317500" dir="5400000" sx="90000" sy="-19000" rotWithShape="0">
              <a:prstClr val="black">
                <a:alpha val="15000"/>
              </a:prstClr>
            </a:outerShdw>
            <a:softEdge rad="0"/>
          </a:effectLst>
        </c:spPr>
      </c:pivotFmt>
      <c:pivotFmt>
        <c:idx val="7"/>
        <c:dLbl>
          <c:idx val="0"/>
          <c:spPr>
            <a:solidFill>
              <a:sysClr val="windowText" lastClr="000000">
                <a:lumMod val="75000"/>
                <a:lumOff val="25000"/>
                <a:alpha val="0"/>
              </a:sysClr>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800" b="1" i="0" u="none" strike="noStrike" kern="1200" baseline="0">
                  <a:solidFill>
                    <a:schemeClr val="tx1">
                      <a:lumMod val="85000"/>
                      <a:lumOff val="1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a:outerShdw blurRad="152400" dist="317500" dir="5400000" sx="90000" sy="-19000" rotWithShape="0">
              <a:prstClr val="black">
                <a:alpha val="15000"/>
              </a:prstClr>
            </a:outerShdw>
            <a:softEdge rad="0"/>
          </a:effectLst>
        </c:spPr>
      </c:pivotFmt>
      <c:pivotFmt>
        <c:idx val="9"/>
        <c:spPr>
          <a:solidFill>
            <a:schemeClr val="accent1"/>
          </a:solidFill>
          <a:ln>
            <a:noFill/>
          </a:ln>
          <a:effectLst>
            <a:outerShdw blurRad="152400" dist="317500" dir="5400000" sx="90000" sy="-19000" rotWithShape="0">
              <a:prstClr val="black">
                <a:alpha val="15000"/>
              </a:prstClr>
            </a:outerShdw>
            <a:softEdge rad="0"/>
          </a:effectLst>
        </c:spPr>
      </c:pivotFmt>
      <c:pivotFmt>
        <c:idx val="10"/>
        <c:spPr>
          <a:solidFill>
            <a:schemeClr val="accent1"/>
          </a:solidFill>
          <a:ln>
            <a:noFill/>
          </a:ln>
          <a:effectLst>
            <a:outerShdw blurRad="152400" dist="317500" dir="5400000" sx="90000" sy="-19000" rotWithShape="0">
              <a:prstClr val="black">
                <a:alpha val="15000"/>
              </a:prstClr>
            </a:outerShdw>
            <a:softEdge rad="0"/>
          </a:effectLst>
        </c:spPr>
      </c:pivotFmt>
      <c:pivotFmt>
        <c:idx val="11"/>
        <c:spPr>
          <a:solidFill>
            <a:schemeClr val="accent1"/>
          </a:solidFill>
          <a:ln>
            <a:noFill/>
          </a:ln>
          <a:effectLst>
            <a:outerShdw blurRad="152400" dist="317500" dir="5400000" sx="90000" sy="-19000" rotWithShape="0">
              <a:prstClr val="black">
                <a:alpha val="15000"/>
              </a:prstClr>
            </a:outerShdw>
            <a:softEdge rad="0"/>
          </a:effectLst>
        </c:spPr>
      </c:pivotFmt>
      <c:pivotFmt>
        <c:idx val="12"/>
        <c:spPr>
          <a:solidFill>
            <a:schemeClr val="accent1"/>
          </a:solidFill>
          <a:ln>
            <a:noFill/>
          </a:ln>
          <a:effectLst>
            <a:outerShdw blurRad="152400" dist="317500" dir="5400000" sx="90000" sy="-19000" rotWithShape="0">
              <a:prstClr val="black">
                <a:alpha val="15000"/>
              </a:prstClr>
            </a:outerShdw>
            <a:softEdge rad="0"/>
          </a:effectLst>
        </c:spPr>
      </c:pivotFmt>
      <c:pivotFmt>
        <c:idx val="13"/>
        <c:spPr>
          <a:solidFill>
            <a:schemeClr val="accent1"/>
          </a:solidFill>
          <a:ln>
            <a:noFill/>
          </a:ln>
          <a:effectLst>
            <a:outerShdw blurRad="152400" dist="317500" dir="5400000" sx="90000" sy="-19000" rotWithShape="0">
              <a:prstClr val="black">
                <a:alpha val="15000"/>
              </a:prstClr>
            </a:outerShdw>
            <a:softEdge rad="0"/>
          </a:effectLst>
        </c:spPr>
      </c:pivotFmt>
      <c:pivotFmt>
        <c:idx val="14"/>
        <c:spPr>
          <a:solidFill>
            <a:schemeClr val="accent1"/>
          </a:solidFill>
          <a:ln>
            <a:noFill/>
          </a:ln>
          <a:effectLst>
            <a:outerShdw blurRad="152400" dist="317500" dir="5400000" sx="90000" sy="-19000" rotWithShape="0">
              <a:prstClr val="black">
                <a:alpha val="15000"/>
              </a:prstClr>
            </a:outerShdw>
            <a:softEdge rad="0"/>
          </a:effectLst>
        </c:spPr>
      </c:pivotFmt>
      <c:pivotFmt>
        <c:idx val="15"/>
        <c:spPr>
          <a:solidFill>
            <a:schemeClr val="accent1"/>
          </a:solidFill>
          <a:ln>
            <a:noFill/>
          </a:ln>
          <a:effectLst>
            <a:outerShdw blurRad="152400" dist="317500" dir="5400000" sx="90000" sy="-19000" rotWithShape="0">
              <a:prstClr val="black">
                <a:alpha val="15000"/>
              </a:prstClr>
            </a:outerShdw>
            <a:softEdge rad="0"/>
          </a:effectLst>
        </c:spPr>
      </c:pivotFmt>
      <c:pivotFmt>
        <c:idx val="16"/>
        <c:spPr>
          <a:solidFill>
            <a:schemeClr val="accent1"/>
          </a:solidFill>
          <a:ln>
            <a:noFill/>
          </a:ln>
          <a:effectLst>
            <a:outerShdw blurRad="152400" dist="317500" dir="5400000" sx="90000" sy="-19000" rotWithShape="0">
              <a:prstClr val="black">
                <a:alpha val="15000"/>
              </a:prstClr>
            </a:outerShdw>
            <a:softEdge rad="0"/>
          </a:effectLst>
        </c:spPr>
      </c:pivotFmt>
      <c:pivotFmt>
        <c:idx val="17"/>
        <c:spPr>
          <a:solidFill>
            <a:schemeClr val="accent1"/>
          </a:solidFill>
          <a:ln>
            <a:noFill/>
          </a:ln>
          <a:effectLst>
            <a:outerShdw blurRad="152400" dist="317500" dir="5400000" sx="90000" sy="-19000" rotWithShape="0">
              <a:prstClr val="black">
                <a:alpha val="15000"/>
              </a:prstClr>
            </a:outerShdw>
            <a:softEdge rad="0"/>
          </a:effectLst>
        </c:spPr>
      </c:pivotFmt>
      <c:pivotFmt>
        <c:idx val="18"/>
        <c:spPr>
          <a:solidFill>
            <a:schemeClr val="accent1"/>
          </a:solidFill>
          <a:ln>
            <a:noFill/>
          </a:ln>
          <a:effectLst>
            <a:outerShdw blurRad="152400" dist="317500" dir="5400000" sx="90000" sy="-19000" rotWithShape="0">
              <a:prstClr val="black">
                <a:alpha val="15000"/>
              </a:prstClr>
            </a:outerShdw>
            <a:softEdge rad="0"/>
          </a:effectLst>
        </c:spPr>
      </c:pivotFmt>
      <c:pivotFmt>
        <c:idx val="19"/>
        <c:spPr>
          <a:solidFill>
            <a:schemeClr val="accent1"/>
          </a:solidFill>
          <a:ln>
            <a:noFill/>
          </a:ln>
          <a:effectLst>
            <a:outerShdw blurRad="152400" dist="317500" dir="5400000" sx="90000" sy="-19000" rotWithShape="0">
              <a:prstClr val="black">
                <a:alpha val="15000"/>
              </a:prstClr>
            </a:outerShdw>
            <a:softEdge rad="0"/>
          </a:effectLst>
        </c:spPr>
      </c:pivotFmt>
      <c:pivotFmt>
        <c:idx val="20"/>
        <c:spPr>
          <a:solidFill>
            <a:schemeClr val="accent1"/>
          </a:solidFill>
          <a:ln>
            <a:noFill/>
          </a:ln>
          <a:effectLst>
            <a:outerShdw blurRad="152400" dist="317500" dir="5400000" sx="90000" sy="-19000" rotWithShape="0">
              <a:prstClr val="black">
                <a:alpha val="15000"/>
              </a:prstClr>
            </a:outerShdw>
            <a:softEdge rad="0"/>
          </a:effectLst>
        </c:spPr>
      </c:pivotFmt>
      <c:pivotFmt>
        <c:idx val="21"/>
        <c:spPr>
          <a:solidFill>
            <a:schemeClr val="accent1"/>
          </a:solidFill>
          <a:ln>
            <a:noFill/>
          </a:ln>
          <a:effectLst>
            <a:outerShdw blurRad="152400" dist="317500" dir="5400000" sx="90000" sy="-19000" rotWithShape="0">
              <a:prstClr val="black">
                <a:alpha val="15000"/>
              </a:prstClr>
            </a:outerShdw>
            <a:softEdge rad="0"/>
          </a:effectLst>
        </c:spPr>
      </c:pivotFmt>
      <c:pivotFmt>
        <c:idx val="22"/>
        <c:spPr>
          <a:solidFill>
            <a:schemeClr val="accent1"/>
          </a:solidFill>
          <a:ln>
            <a:noFill/>
          </a:ln>
          <a:effectLst>
            <a:outerShdw blurRad="152400" dist="317500" dir="5400000" sx="90000" sy="-19000" rotWithShape="0">
              <a:prstClr val="black">
                <a:alpha val="15000"/>
              </a:prstClr>
            </a:outerShdw>
            <a:softEdge rad="0"/>
          </a:effectLst>
        </c:spPr>
      </c:pivotFmt>
      <c:pivotFmt>
        <c:idx val="23"/>
        <c:spPr>
          <a:solidFill>
            <a:schemeClr val="accent1"/>
          </a:solidFill>
          <a:ln>
            <a:noFill/>
          </a:ln>
          <a:effectLst>
            <a:outerShdw blurRad="152400" dist="317500" dir="5400000" sx="90000" sy="-19000" rotWithShape="0">
              <a:prstClr val="black">
                <a:alpha val="15000"/>
              </a:prstClr>
            </a:outerShdw>
            <a:softEdge rad="0"/>
          </a:effectLst>
        </c:spPr>
      </c:pivotFmt>
      <c:pivotFmt>
        <c:idx val="24"/>
        <c:spPr>
          <a:solidFill>
            <a:schemeClr val="accent1"/>
          </a:solidFill>
          <a:ln>
            <a:noFill/>
          </a:ln>
          <a:effectLst>
            <a:outerShdw blurRad="152400" dist="317500" dir="5400000" sx="90000" sy="-19000" rotWithShape="0">
              <a:prstClr val="black">
                <a:alpha val="15000"/>
              </a:prstClr>
            </a:outerShdw>
            <a:softEdge rad="0"/>
          </a:effectLst>
        </c:spPr>
      </c:pivotFmt>
      <c:pivotFmt>
        <c:idx val="25"/>
        <c:spPr>
          <a:solidFill>
            <a:schemeClr val="accent1"/>
          </a:solidFill>
          <a:ln>
            <a:noFill/>
          </a:ln>
          <a:effectLst>
            <a:outerShdw blurRad="152400" dist="317500" dir="5400000" sx="90000" sy="-19000" rotWithShape="0">
              <a:prstClr val="black">
                <a:alpha val="15000"/>
              </a:prstClr>
            </a:outerShdw>
            <a:softEdge rad="0"/>
          </a:effectLst>
        </c:spPr>
      </c:pivotFmt>
      <c:pivotFmt>
        <c:idx val="26"/>
        <c:spPr>
          <a:solidFill>
            <a:schemeClr val="accent1"/>
          </a:solidFill>
          <a:ln>
            <a:noFill/>
          </a:ln>
          <a:effectLst>
            <a:outerShdw blurRad="152400" dist="317500" dir="5400000" sx="90000" sy="-19000" rotWithShape="0">
              <a:prstClr val="black">
                <a:alpha val="15000"/>
              </a:prstClr>
            </a:outerShdw>
            <a:softEdge rad="0"/>
          </a:effectLst>
        </c:spPr>
      </c:pivotFmt>
      <c:pivotFmt>
        <c:idx val="27"/>
        <c:spPr>
          <a:solidFill>
            <a:schemeClr val="accent1"/>
          </a:solidFill>
          <a:ln>
            <a:noFill/>
          </a:ln>
          <a:effectLst>
            <a:outerShdw blurRad="152400" dist="317500" dir="5400000" sx="90000" sy="-19000" rotWithShape="0">
              <a:prstClr val="black">
                <a:alpha val="15000"/>
              </a:prstClr>
            </a:outerShdw>
            <a:softEdge rad="0"/>
          </a:effectLst>
        </c:spPr>
      </c:pivotFmt>
      <c:pivotFmt>
        <c:idx val="28"/>
        <c:spPr>
          <a:solidFill>
            <a:schemeClr val="accent1"/>
          </a:solidFill>
          <a:ln>
            <a:noFill/>
          </a:ln>
          <a:effectLst>
            <a:outerShdw blurRad="152400" dist="317500" dir="5400000" sx="90000" sy="-19000" rotWithShape="0">
              <a:prstClr val="black">
                <a:alpha val="15000"/>
              </a:prstClr>
            </a:outerShdw>
            <a:softEdge rad="0"/>
          </a:effectLst>
        </c:spPr>
      </c:pivotFmt>
      <c:pivotFmt>
        <c:idx val="29"/>
        <c:spPr>
          <a:solidFill>
            <a:schemeClr val="accent1"/>
          </a:solidFill>
          <a:ln>
            <a:noFill/>
          </a:ln>
          <a:effectLst>
            <a:outerShdw blurRad="152400" dist="317500" dir="5400000" sx="90000" sy="-19000" rotWithShape="0">
              <a:prstClr val="black">
                <a:alpha val="15000"/>
              </a:prstClr>
            </a:outerShdw>
            <a:softEdge rad="0"/>
          </a:effectLst>
        </c:spPr>
      </c:pivotFmt>
    </c:pivotFmts>
    <c:plotArea>
      <c:layout>
        <c:manualLayout>
          <c:layoutTarget val="inner"/>
          <c:xMode val="edge"/>
          <c:yMode val="edge"/>
          <c:x val="7.4946077284893846E-3"/>
          <c:y val="3.0395314890451532E-2"/>
          <c:w val="0.99250539227151058"/>
          <c:h val="0.85756452903280134"/>
        </c:manualLayout>
      </c:layout>
      <c:pieChart>
        <c:varyColors val="1"/>
        <c:ser>
          <c:idx val="0"/>
          <c:order val="0"/>
          <c:tx>
            <c:strRef>
              <c:f>DASHBOARD!$I$3</c:f>
              <c:strCache>
                <c:ptCount val="1"/>
                <c:pt idx="0">
                  <c:v>Total</c:v>
                </c:pt>
              </c:strCache>
            </c:strRef>
          </c:tx>
          <c:spPr>
            <a:effectLst>
              <a:outerShdw blurRad="152400" dist="317500" dir="5400000" sx="90000" sy="-19000" rotWithShape="0">
                <a:prstClr val="black">
                  <a:alpha val="15000"/>
                </a:prstClr>
              </a:outerShdw>
              <a:softEdge rad="0"/>
            </a:effectLst>
          </c:spPr>
          <c:dPt>
            <c:idx val="0"/>
            <c:bubble3D val="0"/>
            <c:spPr>
              <a:solidFill>
                <a:schemeClr val="accent1"/>
              </a:solidFill>
              <a:ln>
                <a:noFill/>
              </a:ln>
              <a:effectLst>
                <a:outerShdw blurRad="152400" dist="317500" dir="5400000" sx="90000" sy="-19000" rotWithShape="0">
                  <a:prstClr val="black">
                    <a:alpha val="15000"/>
                  </a:prstClr>
                </a:outerShdw>
                <a:softEdge rad="0"/>
              </a:effectLst>
            </c:spPr>
            <c:extLst>
              <c:ext xmlns:c16="http://schemas.microsoft.com/office/drawing/2014/chart" uri="{C3380CC4-5D6E-409C-BE32-E72D297353CC}">
                <c16:uniqueId val="{00000003-CA52-4D2B-BFA6-138C9715EAE9}"/>
              </c:ext>
            </c:extLst>
          </c:dPt>
          <c:dPt>
            <c:idx val="1"/>
            <c:bubble3D val="0"/>
            <c:spPr>
              <a:solidFill>
                <a:schemeClr val="accent2"/>
              </a:solidFill>
              <a:ln>
                <a:noFill/>
              </a:ln>
              <a:effectLst>
                <a:outerShdw blurRad="152400" dist="317500" dir="5400000" sx="90000" sy="-19000" rotWithShape="0">
                  <a:prstClr val="black">
                    <a:alpha val="15000"/>
                  </a:prstClr>
                </a:outerShdw>
                <a:softEdge rad="0"/>
              </a:effectLst>
            </c:spPr>
            <c:extLst>
              <c:ext xmlns:c16="http://schemas.microsoft.com/office/drawing/2014/chart" uri="{C3380CC4-5D6E-409C-BE32-E72D297353CC}">
                <c16:uniqueId val="{00000004-CA52-4D2B-BFA6-138C9715EAE9}"/>
              </c:ext>
            </c:extLst>
          </c:dPt>
          <c:dPt>
            <c:idx val="2"/>
            <c:bubble3D val="0"/>
            <c:spPr>
              <a:solidFill>
                <a:schemeClr val="accent3"/>
              </a:solidFill>
              <a:ln>
                <a:noFill/>
              </a:ln>
              <a:effectLst>
                <a:outerShdw blurRad="152400" dist="317500" dir="5400000" sx="90000" sy="-19000" rotWithShape="0">
                  <a:prstClr val="black">
                    <a:alpha val="15000"/>
                  </a:prstClr>
                </a:outerShdw>
                <a:softEdge rad="0"/>
              </a:effectLst>
            </c:spPr>
            <c:extLst>
              <c:ext xmlns:c16="http://schemas.microsoft.com/office/drawing/2014/chart" uri="{C3380CC4-5D6E-409C-BE32-E72D297353CC}">
                <c16:uniqueId val="{00000005-CA52-4D2B-BFA6-138C9715EAE9}"/>
              </c:ext>
            </c:extLst>
          </c:dPt>
          <c:dPt>
            <c:idx val="3"/>
            <c:bubble3D val="0"/>
            <c:spPr>
              <a:solidFill>
                <a:schemeClr val="accent4"/>
              </a:solidFill>
              <a:ln>
                <a:noFill/>
              </a:ln>
              <a:effectLst>
                <a:outerShdw blurRad="152400" dist="317500" dir="5400000" sx="90000" sy="-19000" rotWithShape="0">
                  <a:prstClr val="black">
                    <a:alpha val="15000"/>
                  </a:prstClr>
                </a:outerShdw>
                <a:softEdge rad="0"/>
              </a:effectLst>
            </c:spPr>
            <c:extLst>
              <c:ext xmlns:c16="http://schemas.microsoft.com/office/drawing/2014/chart" uri="{C3380CC4-5D6E-409C-BE32-E72D297353CC}">
                <c16:uniqueId val="{00000006-CA52-4D2B-BFA6-138C9715EAE9}"/>
              </c:ext>
            </c:extLst>
          </c:dPt>
          <c:dPt>
            <c:idx val="4"/>
            <c:bubble3D val="0"/>
            <c:spPr>
              <a:solidFill>
                <a:schemeClr val="accent5"/>
              </a:solidFill>
              <a:ln>
                <a:noFill/>
              </a:ln>
              <a:effectLst>
                <a:outerShdw blurRad="152400" dist="317500" dir="5400000" sx="90000" sy="-19000" rotWithShape="0">
                  <a:prstClr val="black">
                    <a:alpha val="15000"/>
                  </a:prstClr>
                </a:outerShdw>
                <a:softEdge rad="0"/>
              </a:effectLst>
            </c:spPr>
            <c:extLst>
              <c:ext xmlns:c16="http://schemas.microsoft.com/office/drawing/2014/chart" uri="{C3380CC4-5D6E-409C-BE32-E72D297353CC}">
                <c16:uniqueId val="{00000002-CA52-4D2B-BFA6-138C9715EAE9}"/>
              </c:ext>
            </c:extLst>
          </c:dPt>
          <c:dLbls>
            <c:spPr>
              <a:solidFill>
                <a:sysClr val="windowText" lastClr="000000">
                  <a:lumMod val="75000"/>
                  <a:lumOff val="25000"/>
                  <a:alpha val="0"/>
                </a:sysClr>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800" b="1" i="0" u="none" strike="noStrike" kern="1200" baseline="0">
                    <a:solidFill>
                      <a:schemeClr val="tx1">
                        <a:lumMod val="85000"/>
                        <a:lumOff val="1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DASHBOARD!$H$4:$H$8</c:f>
              <c:strCache>
                <c:ptCount val="5"/>
                <c:pt idx="0">
                  <c:v>Janardan Mishra</c:v>
                </c:pt>
                <c:pt idx="1">
                  <c:v>Kamini Kumar</c:v>
                </c:pt>
                <c:pt idx="2">
                  <c:v>Rekha Agarwal</c:v>
                </c:pt>
                <c:pt idx="3">
                  <c:v>Saroj Parita</c:v>
                </c:pt>
                <c:pt idx="4">
                  <c:v>Shivji Prasad</c:v>
                </c:pt>
              </c:strCache>
            </c:strRef>
          </c:cat>
          <c:val>
            <c:numRef>
              <c:f>DASHBOARD!$I$4:$I$8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CA52-4D2B-BFA6-138C9715EAE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Excel.xlsm]DASHBOARD!PivotTable7</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manualLayout>
              <c:x val="-7.4548702245552642E-2"/>
              <c:y val="-8.460295002187226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manualLayout>
              <c:x val="-8.3807961504811901E-2"/>
              <c:y val="-0.1149848944663167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4.3015456401300148E-4"/>
              <c:y val="-5.422100557742782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manualLayout>
              <c:x val="-0.18565981335666376"/>
              <c:y val="-7.592239446631679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15854796605708849"/>
              <c:y val="-7.195689216858364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8.3363563294425592E-4"/>
              <c:y val="-8.068289565898507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6.8213729381388297E-2"/>
              <c:y val="-0.1461279218369954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47543015456401"/>
          <c:y val="0.13236104276027999"/>
          <c:w val="0.93888888888888888"/>
          <c:h val="0.5858366825240594"/>
        </c:manualLayout>
      </c:layout>
      <c:lineChart>
        <c:grouping val="standard"/>
        <c:varyColors val="0"/>
        <c:ser>
          <c:idx val="0"/>
          <c:order val="0"/>
          <c:tx>
            <c:strRef>
              <c:f>DASHBOARD!$L$3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DASHBOARD!$K$4:$K$8</c:f>
              <c:strCache>
                <c:ptCount val="5"/>
                <c:pt idx="0">
                  <c:v>Anjali Deoram</c:v>
                </c:pt>
                <c:pt idx="1">
                  <c:v>Lilly Lucy</c:v>
                </c:pt>
                <c:pt idx="2">
                  <c:v>Mehnaz Khan</c:v>
                </c:pt>
                <c:pt idx="3">
                  <c:v>Partha Sarathi</c:v>
                </c:pt>
                <c:pt idx="4">
                  <c:v>Raji Abraham</c:v>
                </c:pt>
              </c:strCache>
            </c:strRef>
          </c:cat>
          <c:val>
            <c:numRef>
              <c:f>DASHBOARD!$L$4:$L$8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4732-4C3F-BD34-AF1F11E8A097}"/>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553013327"/>
        <c:axId val="1553012367"/>
      </c:lineChart>
      <c:catAx>
        <c:axId val="1553013327"/>
        <c:scaling>
          <c:orientation val="minMax"/>
        </c:scaling>
        <c:delete val="0"/>
        <c:axPos val="b"/>
        <c:numFmt formatCode="General" sourceLinked="1"/>
        <c:majorTickMark val="out"/>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553012367"/>
        <c:crosses val="autoZero"/>
        <c:auto val="1"/>
        <c:lblAlgn val="ctr"/>
        <c:lblOffset val="100"/>
        <c:noMultiLvlLbl val="0"/>
      </c:catAx>
      <c:valAx>
        <c:axId val="1553012367"/>
        <c:scaling>
          <c:orientation val="minMax"/>
        </c:scaling>
        <c:delete val="1"/>
        <c:axPos val="l"/>
        <c:numFmt formatCode="0.00%" sourceLinked="1"/>
        <c:majorTickMark val="out"/>
        <c:minorTickMark val="none"/>
        <c:tickLblPos val="nextTo"/>
        <c:crossAx val="1553013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9</xdr:row>
      <xdr:rowOff>0</xdr:rowOff>
    </xdr:from>
    <xdr:to>
      <xdr:col>6</xdr:col>
      <xdr:colOff>7620</xdr:colOff>
      <xdr:row>25</xdr:row>
      <xdr:rowOff>0</xdr:rowOff>
    </xdr:to>
    <xdr:graphicFrame macro="">
      <xdr:nvGraphicFramePr>
        <xdr:cNvPr id="2" name="Chart 1">
          <a:extLst>
            <a:ext uri="{FF2B5EF4-FFF2-40B4-BE49-F238E27FC236}">
              <a16:creationId xmlns:a16="http://schemas.microsoft.com/office/drawing/2014/main" id="{A6652AC8-AFBF-B266-BE7C-596BE1062C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9</xdr:row>
      <xdr:rowOff>99060</xdr:rowOff>
    </xdr:from>
    <xdr:to>
      <xdr:col>9</xdr:col>
      <xdr:colOff>76200</xdr:colOff>
      <xdr:row>25</xdr:row>
      <xdr:rowOff>0</xdr:rowOff>
    </xdr:to>
    <xdr:graphicFrame macro="">
      <xdr:nvGraphicFramePr>
        <xdr:cNvPr id="3" name="Chart 2">
          <a:extLst>
            <a:ext uri="{FF2B5EF4-FFF2-40B4-BE49-F238E27FC236}">
              <a16:creationId xmlns:a16="http://schemas.microsoft.com/office/drawing/2014/main" id="{966F3DD9-0BC7-FC43-A7D1-FCAAA706E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128024</xdr:colOff>
      <xdr:row>0</xdr:row>
      <xdr:rowOff>205740</xdr:rowOff>
    </xdr:from>
    <xdr:to>
      <xdr:col>11</xdr:col>
      <xdr:colOff>1592580</xdr:colOff>
      <xdr:row>1</xdr:row>
      <xdr:rowOff>386480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E3CD2A8D-F62E-C0E5-4B33-297EF997D3D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728224" y="205740"/>
              <a:ext cx="9587476" cy="576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0</xdr:colOff>
      <xdr:row>9</xdr:row>
      <xdr:rowOff>15240</xdr:rowOff>
    </xdr:from>
    <xdr:to>
      <xdr:col>12</xdr:col>
      <xdr:colOff>0</xdr:colOff>
      <xdr:row>25</xdr:row>
      <xdr:rowOff>0</xdr:rowOff>
    </xdr:to>
    <xdr:graphicFrame macro="">
      <xdr:nvGraphicFramePr>
        <xdr:cNvPr id="4" name="Chart 3">
          <a:extLst>
            <a:ext uri="{FF2B5EF4-FFF2-40B4-BE49-F238E27FC236}">
              <a16:creationId xmlns:a16="http://schemas.microsoft.com/office/drawing/2014/main" id="{FF7A7801-9539-CD35-9706-C6AB85C97E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xdr:col>
      <xdr:colOff>807720</xdr:colOff>
      <xdr:row>1</xdr:row>
      <xdr:rowOff>121920</xdr:rowOff>
    </xdr:from>
    <xdr:ext cx="184731" cy="264560"/>
    <xdr:sp macro="" textlink="">
      <xdr:nvSpPr>
        <xdr:cNvPr id="8" name="TextBox 7">
          <a:extLst>
            <a:ext uri="{FF2B5EF4-FFF2-40B4-BE49-F238E27FC236}">
              <a16:creationId xmlns:a16="http://schemas.microsoft.com/office/drawing/2014/main" id="{511265EA-DF9D-1946-A192-60EBB7368D74}"/>
            </a:ext>
          </a:extLst>
        </xdr:cNvPr>
        <xdr:cNvSpPr txBox="1"/>
      </xdr:nvSpPr>
      <xdr:spPr>
        <a:xfrm>
          <a:off x="1866900" y="5181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5</xdr:col>
      <xdr:colOff>0</xdr:colOff>
      <xdr:row>8</xdr:row>
      <xdr:rowOff>0</xdr:rowOff>
    </xdr:from>
    <xdr:ext cx="3497580" cy="472440"/>
    <xdr:sp macro="" textlink="">
      <xdr:nvSpPr>
        <xdr:cNvPr id="9" name="TextBox 8">
          <a:extLst>
            <a:ext uri="{FF2B5EF4-FFF2-40B4-BE49-F238E27FC236}">
              <a16:creationId xmlns:a16="http://schemas.microsoft.com/office/drawing/2014/main" id="{A098D5F9-4B36-6B0C-B495-20A7FE192513}"/>
            </a:ext>
          </a:extLst>
        </xdr:cNvPr>
        <xdr:cNvSpPr txBox="1"/>
      </xdr:nvSpPr>
      <xdr:spPr>
        <a:xfrm>
          <a:off x="3345180" y="2095500"/>
          <a:ext cx="3497580"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b="1">
              <a:solidFill>
                <a:srgbClr val="EE0000"/>
              </a:solidFill>
            </a:rPr>
            <a:t>CHARTS</a:t>
          </a:r>
        </a:p>
      </xdr:txBody>
    </xdr:sp>
    <xdr:clientData/>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x v="0"/>
    <x v="0"/>
    <n v="0.32199999999999995"/>
  </r>
  <r>
    <s v="Mum-TCL002"/>
    <x v="1"/>
    <x v="1"/>
    <n v="44"/>
    <n v="85"/>
    <n v="47"/>
    <n v="15"/>
    <n v="48"/>
    <x v="1"/>
    <x v="0"/>
    <x v="1"/>
    <n v="0.52200000000000002"/>
  </r>
  <r>
    <s v="Mum-TCL003"/>
    <x v="2"/>
    <x v="2"/>
    <n v="45"/>
    <n v="79"/>
    <n v="88"/>
    <n v="73"/>
    <n v="94"/>
    <x v="2"/>
    <x v="0"/>
    <x v="2"/>
    <n v="0.24199999999999999"/>
  </r>
  <r>
    <s v="Mum-TCL004"/>
    <x v="3"/>
    <x v="3"/>
    <n v="52"/>
    <n v="99"/>
    <n v="13"/>
    <n v="95"/>
    <n v="29"/>
    <x v="3"/>
    <x v="0"/>
    <x v="3"/>
    <n v="0.42400000000000004"/>
  </r>
  <r>
    <s v="Mum-TCL005"/>
    <x v="4"/>
    <x v="4"/>
    <n v="35"/>
    <n v="54"/>
    <n v="49"/>
    <n v="26"/>
    <n v="49"/>
    <x v="4"/>
    <x v="0"/>
    <x v="4"/>
    <n v="0.57400000000000007"/>
  </r>
  <r>
    <s v="Mum-TCL006"/>
    <x v="5"/>
    <x v="5"/>
    <n v="86"/>
    <n v="31"/>
    <n v="23"/>
    <n v="48"/>
    <n v="77"/>
    <x v="5"/>
    <x v="0"/>
    <x v="5"/>
    <n v="0.47"/>
  </r>
  <r>
    <s v="Mum-TCL007"/>
    <x v="6"/>
    <x v="6"/>
    <n v="84"/>
    <n v="28"/>
    <n v="98"/>
    <n v="80"/>
    <n v="79"/>
    <x v="6"/>
    <x v="0"/>
    <x v="6"/>
    <n v="0.26200000000000001"/>
  </r>
  <r>
    <s v="Mum-TCL008"/>
    <x v="7"/>
    <x v="7"/>
    <n v="73"/>
    <n v="97"/>
    <n v="38"/>
    <n v="24"/>
    <n v="53"/>
    <x v="7"/>
    <x v="0"/>
    <x v="7"/>
    <n v="0.43000000000000005"/>
  </r>
  <r>
    <s v="Mum-TCL009"/>
    <x v="8"/>
    <x v="0"/>
    <n v="54"/>
    <n v="26"/>
    <n v="53"/>
    <n v="36"/>
    <n v="20"/>
    <x v="8"/>
    <x v="0"/>
    <x v="8"/>
    <n v="0.622"/>
  </r>
  <r>
    <s v="Mum-TCL010"/>
    <x v="9"/>
    <x v="1"/>
    <n v="52"/>
    <n v="52"/>
    <n v="19"/>
    <n v="53"/>
    <n v="37"/>
    <x v="4"/>
    <x v="0"/>
    <x v="4"/>
    <n v="0.57400000000000007"/>
  </r>
  <r>
    <s v="Mum-TCL011"/>
    <x v="10"/>
    <x v="2"/>
    <n v="63"/>
    <n v="17"/>
    <n v="40"/>
    <n v="48"/>
    <n v="51"/>
    <x v="9"/>
    <x v="0"/>
    <x v="9"/>
    <n v="0.56200000000000006"/>
  </r>
  <r>
    <s v="Mum-TCL012"/>
    <x v="11"/>
    <x v="3"/>
    <n v="79"/>
    <n v="99"/>
    <n v="95"/>
    <n v="12"/>
    <n v="91"/>
    <x v="10"/>
    <x v="0"/>
    <x v="10"/>
    <n v="0.248"/>
  </r>
  <r>
    <s v="Mum-TCL013"/>
    <x v="12"/>
    <x v="4"/>
    <n v="95"/>
    <n v="88"/>
    <n v="11"/>
    <n v="78"/>
    <n v="60"/>
    <x v="11"/>
    <x v="0"/>
    <x v="11"/>
    <n v="0.33599999999999997"/>
  </r>
  <r>
    <s v="Mum-TCL014"/>
    <x v="13"/>
    <x v="5"/>
    <n v="83"/>
    <n v="77"/>
    <n v="66"/>
    <n v="22"/>
    <n v="40"/>
    <x v="3"/>
    <x v="0"/>
    <x v="3"/>
    <n v="0.42400000000000004"/>
  </r>
  <r>
    <s v="Mum-TCL015"/>
    <x v="14"/>
    <x v="6"/>
    <n v="78"/>
    <n v="58"/>
    <n v="34"/>
    <n v="84"/>
    <n v="31"/>
    <x v="7"/>
    <x v="0"/>
    <x v="7"/>
    <n v="0.43000000000000005"/>
  </r>
  <r>
    <s v="Mum-TCL016"/>
    <x v="15"/>
    <x v="7"/>
    <n v="14"/>
    <n v="25"/>
    <n v="45"/>
    <n v="70"/>
    <n v="45"/>
    <x v="12"/>
    <x v="0"/>
    <x v="12"/>
    <n v="0.60199999999999998"/>
  </r>
  <r>
    <s v="Mum-TCL017"/>
    <x v="16"/>
    <x v="0"/>
    <n v="37"/>
    <n v="69"/>
    <n v="96"/>
    <n v="66"/>
    <n v="38"/>
    <x v="13"/>
    <x v="0"/>
    <x v="13"/>
    <n v="0.38800000000000001"/>
  </r>
  <r>
    <s v="Mum-TCL018"/>
    <x v="17"/>
    <x v="1"/>
    <n v="11"/>
    <n v="46"/>
    <n v="91"/>
    <n v="98"/>
    <n v="45"/>
    <x v="14"/>
    <x v="0"/>
    <x v="14"/>
    <n v="0.41800000000000004"/>
  </r>
  <r>
    <s v="Mum-TCL019"/>
    <x v="18"/>
    <x v="2"/>
    <n v="19"/>
    <n v="34"/>
    <n v="64"/>
    <n v="65"/>
    <n v="70"/>
    <x v="15"/>
    <x v="0"/>
    <x v="15"/>
    <n v="0.496"/>
  </r>
  <r>
    <s v="Mum-TCL020"/>
    <x v="19"/>
    <x v="3"/>
    <n v="93"/>
    <n v="84"/>
    <n v="13"/>
    <n v="45"/>
    <n v="18"/>
    <x v="16"/>
    <x v="0"/>
    <x v="16"/>
    <n v="0.49399999999999999"/>
  </r>
  <r>
    <s v="Mum-TCL021"/>
    <x v="20"/>
    <x v="4"/>
    <n v="68"/>
    <n v="73"/>
    <n v="97"/>
    <n v="76"/>
    <n v="53"/>
    <x v="17"/>
    <x v="0"/>
    <x v="17"/>
    <n v="0.26600000000000001"/>
  </r>
  <r>
    <s v="Mum-TCL022"/>
    <x v="21"/>
    <x v="5"/>
    <n v="99"/>
    <n v="17"/>
    <n v="48"/>
    <n v="44"/>
    <n v="93"/>
    <x v="18"/>
    <x v="0"/>
    <x v="18"/>
    <n v="0.39800000000000002"/>
  </r>
  <r>
    <s v="Mum-TCL023"/>
    <x v="22"/>
    <x v="6"/>
    <n v="57"/>
    <n v="28"/>
    <n v="31"/>
    <n v="34"/>
    <n v="52"/>
    <x v="19"/>
    <x v="0"/>
    <x v="19"/>
    <n v="0.59599999999999997"/>
  </r>
  <r>
    <s v="Mum-TCL024"/>
    <x v="23"/>
    <x v="7"/>
    <n v="40"/>
    <n v="22"/>
    <n v="18"/>
    <n v="11"/>
    <n v="92"/>
    <x v="20"/>
    <x v="0"/>
    <x v="20"/>
    <n v="0.63400000000000001"/>
  </r>
  <r>
    <s v="Mum-TCL025"/>
    <x v="24"/>
    <x v="0"/>
    <n v="47"/>
    <n v="99"/>
    <n v="94"/>
    <n v="75"/>
    <n v="29"/>
    <x v="21"/>
    <x v="0"/>
    <x v="21"/>
    <n v="0.31200000000000006"/>
  </r>
  <r>
    <s v="Mum-TCL026"/>
    <x v="25"/>
    <x v="1"/>
    <n v="16"/>
    <n v="71"/>
    <n v="80"/>
    <n v="76"/>
    <n v="33"/>
    <x v="22"/>
    <x v="0"/>
    <x v="22"/>
    <n v="0.44799999999999995"/>
  </r>
  <r>
    <s v="Mum-TCL027"/>
    <x v="26"/>
    <x v="2"/>
    <n v="72"/>
    <n v="87"/>
    <n v="92"/>
    <n v="72"/>
    <n v="34"/>
    <x v="23"/>
    <x v="0"/>
    <x v="23"/>
    <n v="0.28600000000000003"/>
  </r>
  <r>
    <s v="Mum-TCL028"/>
    <x v="27"/>
    <x v="3"/>
    <n v="30"/>
    <n v="38"/>
    <n v="70"/>
    <n v="89"/>
    <n v="97"/>
    <x v="24"/>
    <x v="0"/>
    <x v="24"/>
    <n v="0.35199999999999998"/>
  </r>
  <r>
    <s v="Mum-TCL029"/>
    <x v="28"/>
    <x v="4"/>
    <n v="65"/>
    <n v="90"/>
    <n v="91"/>
    <n v="85"/>
    <n v="10"/>
    <x v="25"/>
    <x v="0"/>
    <x v="25"/>
    <n v="0.31799999999999995"/>
  </r>
  <r>
    <s v="Mum-TCL030"/>
    <x v="29"/>
    <x v="5"/>
    <n v="83"/>
    <n v="46"/>
    <n v="99"/>
    <n v="36"/>
    <n v="89"/>
    <x v="26"/>
    <x v="0"/>
    <x v="26"/>
    <n v="0.29400000000000004"/>
  </r>
  <r>
    <s v="Mum-TCL031"/>
    <x v="30"/>
    <x v="6"/>
    <n v="10"/>
    <n v="66"/>
    <n v="40"/>
    <n v="22"/>
    <n v="38"/>
    <x v="27"/>
    <x v="0"/>
    <x v="27"/>
    <n v="0.64800000000000002"/>
  </r>
  <r>
    <s v="Mum-TCL032"/>
    <x v="31"/>
    <x v="7"/>
    <n v="37"/>
    <n v="30"/>
    <n v="19"/>
    <n v="77"/>
    <n v="67"/>
    <x v="28"/>
    <x v="0"/>
    <x v="28"/>
    <n v="0.54"/>
  </r>
  <r>
    <s v="Mum-TCL033"/>
    <x v="32"/>
    <x v="0"/>
    <n v="83"/>
    <n v="46"/>
    <n v="17"/>
    <n v="94"/>
    <n v="92"/>
    <x v="11"/>
    <x v="0"/>
    <x v="11"/>
    <n v="0.33599999999999997"/>
  </r>
  <r>
    <s v="Mum-TCL034"/>
    <x v="33"/>
    <x v="1"/>
    <n v="84"/>
    <n v="59"/>
    <n v="41"/>
    <n v="17"/>
    <n v="22"/>
    <x v="29"/>
    <x v="0"/>
    <x v="29"/>
    <n v="0.55400000000000005"/>
  </r>
  <r>
    <s v="Mum-TCL035"/>
    <x v="34"/>
    <x v="2"/>
    <n v="82"/>
    <n v="54"/>
    <n v="79"/>
    <n v="61"/>
    <n v="47"/>
    <x v="30"/>
    <x v="0"/>
    <x v="30"/>
    <n v="0.35399999999999998"/>
  </r>
  <r>
    <s v="Mum-TCL036"/>
    <x v="35"/>
    <x v="3"/>
    <n v="47"/>
    <n v="23"/>
    <n v="19"/>
    <n v="64"/>
    <n v="61"/>
    <x v="31"/>
    <x v="0"/>
    <x v="31"/>
    <n v="0.57200000000000006"/>
  </r>
  <r>
    <s v="Mum-TCL037"/>
    <x v="36"/>
    <x v="4"/>
    <n v="91"/>
    <n v="13"/>
    <n v="79"/>
    <n v="85"/>
    <n v="67"/>
    <x v="32"/>
    <x v="0"/>
    <x v="32"/>
    <n v="0.32999999999999996"/>
  </r>
  <r>
    <s v="Mum-TCL038"/>
    <x v="37"/>
    <x v="5"/>
    <n v="66"/>
    <n v="59"/>
    <n v="25"/>
    <n v="55"/>
    <n v="59"/>
    <x v="33"/>
    <x v="0"/>
    <x v="33"/>
    <n v="0.47199999999999998"/>
  </r>
  <r>
    <s v="Mum-TCL039"/>
    <x v="38"/>
    <x v="6"/>
    <n v="70"/>
    <n v="18"/>
    <n v="88"/>
    <n v="46"/>
    <n v="52"/>
    <x v="34"/>
    <x v="0"/>
    <x v="34"/>
    <n v="0.45199999999999996"/>
  </r>
  <r>
    <s v="Mum-TCL040"/>
    <x v="39"/>
    <x v="7"/>
    <n v="37"/>
    <n v="60"/>
    <n v="44"/>
    <n v="61"/>
    <n v="30"/>
    <x v="35"/>
    <x v="0"/>
    <x v="35"/>
    <n v="0.53600000000000003"/>
  </r>
  <r>
    <s v="Mum-TCL041"/>
    <x v="40"/>
    <x v="0"/>
    <n v="16"/>
    <n v="46"/>
    <n v="33"/>
    <n v="54"/>
    <n v="58"/>
    <x v="36"/>
    <x v="0"/>
    <x v="36"/>
    <n v="0.58600000000000008"/>
  </r>
  <r>
    <s v="Mum-TCL042"/>
    <x v="41"/>
    <x v="1"/>
    <n v="47"/>
    <n v="97"/>
    <n v="74"/>
    <n v="97"/>
    <n v="56"/>
    <x v="37"/>
    <x v="0"/>
    <x v="37"/>
    <n v="0.25800000000000001"/>
  </r>
  <r>
    <s v="Mum-TCL043"/>
    <x v="42"/>
    <x v="2"/>
    <n v="86"/>
    <n v="22"/>
    <n v="10"/>
    <n v="60"/>
    <n v="28"/>
    <x v="38"/>
    <x v="0"/>
    <x v="38"/>
    <n v="0.58800000000000008"/>
  </r>
  <r>
    <s v="Mum-TCL044"/>
    <x v="43"/>
    <x v="3"/>
    <n v="74"/>
    <n v="17"/>
    <n v="45"/>
    <n v="64"/>
    <n v="13"/>
    <x v="4"/>
    <x v="0"/>
    <x v="4"/>
    <n v="0.57400000000000007"/>
  </r>
  <r>
    <s v="Mum-TCL045"/>
    <x v="44"/>
    <x v="4"/>
    <n v="80"/>
    <n v="51"/>
    <n v="15"/>
    <n v="97"/>
    <n v="42"/>
    <x v="7"/>
    <x v="0"/>
    <x v="7"/>
    <n v="0.43000000000000005"/>
  </r>
  <r>
    <s v="Mum-TCL046"/>
    <x v="45"/>
    <x v="5"/>
    <n v="49"/>
    <n v="82"/>
    <n v="95"/>
    <n v="46"/>
    <n v="78"/>
    <x v="39"/>
    <x v="0"/>
    <x v="39"/>
    <n v="0.30000000000000004"/>
  </r>
  <r>
    <s v="Mum-TCL047"/>
    <x v="46"/>
    <x v="6"/>
    <n v="17"/>
    <n v="88"/>
    <n v="12"/>
    <n v="54"/>
    <n v="21"/>
    <x v="40"/>
    <x v="0"/>
    <x v="40"/>
    <n v="0.61599999999999999"/>
  </r>
  <r>
    <s v="Mum-TCL048"/>
    <x v="47"/>
    <x v="7"/>
    <n v="74"/>
    <n v="16"/>
    <n v="74"/>
    <n v="36"/>
    <n v="33"/>
    <x v="41"/>
    <x v="0"/>
    <x v="41"/>
    <n v="0.53400000000000003"/>
  </r>
  <r>
    <s v="Mum-TCL049"/>
    <x v="48"/>
    <x v="0"/>
    <n v="73"/>
    <n v="72"/>
    <n v="38"/>
    <n v="19"/>
    <n v="90"/>
    <x v="42"/>
    <x v="0"/>
    <x v="42"/>
    <n v="0.41600000000000004"/>
  </r>
  <r>
    <s v="Mum-TCL050"/>
    <x v="49"/>
    <x v="1"/>
    <n v="17"/>
    <n v="84"/>
    <n v="90"/>
    <n v="77"/>
    <n v="72"/>
    <x v="43"/>
    <x v="0"/>
    <x v="43"/>
    <n v="0.31999999999999995"/>
  </r>
  <r>
    <s v="Mum-TCL051"/>
    <x v="50"/>
    <x v="2"/>
    <n v="52"/>
    <n v="36"/>
    <n v="84"/>
    <n v="41"/>
    <n v="57"/>
    <x v="44"/>
    <x v="0"/>
    <x v="44"/>
    <n v="0.45999999999999996"/>
  </r>
  <r>
    <s v="Mum-TCL052"/>
    <x v="51"/>
    <x v="3"/>
    <n v="65"/>
    <n v="67"/>
    <n v="72"/>
    <n v="22"/>
    <n v="23"/>
    <x v="45"/>
    <x v="0"/>
    <x v="45"/>
    <n v="0.502"/>
  </r>
  <r>
    <s v="Mum-TCL053"/>
    <x v="52"/>
    <x v="4"/>
    <n v="88"/>
    <n v="39"/>
    <n v="25"/>
    <n v="99"/>
    <n v="71"/>
    <x v="46"/>
    <x v="0"/>
    <x v="46"/>
    <n v="0.35599999999999998"/>
  </r>
  <r>
    <s v="Mum-TCL054"/>
    <x v="53"/>
    <x v="5"/>
    <n v="23"/>
    <n v="14"/>
    <n v="15"/>
    <n v="58"/>
    <n v="79"/>
    <x v="8"/>
    <x v="0"/>
    <x v="8"/>
    <n v="0.622"/>
  </r>
  <r>
    <s v="Mum-TCL055"/>
    <x v="54"/>
    <x v="6"/>
    <n v="15"/>
    <n v="67"/>
    <n v="48"/>
    <n v="95"/>
    <n v="35"/>
    <x v="47"/>
    <x v="0"/>
    <x v="47"/>
    <n v="0.48"/>
  </r>
  <r>
    <s v="Mum-TCL056"/>
    <x v="55"/>
    <x v="7"/>
    <n v="18"/>
    <n v="35"/>
    <n v="82"/>
    <n v="31"/>
    <n v="26"/>
    <x v="40"/>
    <x v="0"/>
    <x v="40"/>
    <n v="0.61599999999999999"/>
  </r>
  <r>
    <s v="Mum-TCL057"/>
    <x v="56"/>
    <x v="0"/>
    <n v="57"/>
    <n v="60"/>
    <n v="42"/>
    <n v="81"/>
    <n v="44"/>
    <x v="48"/>
    <x v="0"/>
    <x v="48"/>
    <n v="0.43200000000000005"/>
  </r>
  <r>
    <s v="Mum-TCL058"/>
    <x v="57"/>
    <x v="1"/>
    <n v="34"/>
    <n v="97"/>
    <n v="66"/>
    <n v="45"/>
    <n v="50"/>
    <x v="42"/>
    <x v="0"/>
    <x v="42"/>
    <n v="0.41600000000000004"/>
  </r>
  <r>
    <s v="Mum-TCL059"/>
    <x v="58"/>
    <x v="2"/>
    <n v="83"/>
    <n v="12"/>
    <n v="70"/>
    <n v="83"/>
    <n v="52"/>
    <x v="49"/>
    <x v="0"/>
    <x v="49"/>
    <n v="0.4"/>
  </r>
  <r>
    <s v="Mum-TCL060"/>
    <x v="59"/>
    <x v="3"/>
    <n v="76"/>
    <n v="55"/>
    <n v="56"/>
    <n v="16"/>
    <n v="61"/>
    <x v="33"/>
    <x v="0"/>
    <x v="33"/>
    <n v="0.47199999999999998"/>
  </r>
  <r>
    <s v="Mum-TCL061"/>
    <x v="60"/>
    <x v="4"/>
    <n v="40"/>
    <n v="70"/>
    <n v="19"/>
    <n v="36"/>
    <n v="52"/>
    <x v="50"/>
    <x v="0"/>
    <x v="50"/>
    <n v="0.56600000000000006"/>
  </r>
  <r>
    <s v="Mum-TCL062"/>
    <x v="61"/>
    <x v="5"/>
    <n v="44"/>
    <n v="60"/>
    <n v="71"/>
    <n v="34"/>
    <n v="37"/>
    <x v="51"/>
    <x v="0"/>
    <x v="51"/>
    <n v="0.50800000000000001"/>
  </r>
  <r>
    <s v="Mum-TCL063"/>
    <x v="62"/>
    <x v="6"/>
    <n v="43"/>
    <n v="78"/>
    <n v="15"/>
    <n v="98"/>
    <n v="33"/>
    <x v="52"/>
    <x v="0"/>
    <x v="52"/>
    <n v="0.46599999999999997"/>
  </r>
  <r>
    <s v="Mum-TCL064"/>
    <x v="63"/>
    <x v="7"/>
    <n v="75"/>
    <n v="75"/>
    <n v="89"/>
    <n v="97"/>
    <n v="49"/>
    <x v="53"/>
    <x v="0"/>
    <x v="53"/>
    <n v="0.22999999999999998"/>
  </r>
  <r>
    <s v="Mum-TCL065"/>
    <x v="64"/>
    <x v="0"/>
    <n v="74"/>
    <n v="51"/>
    <n v="97"/>
    <n v="73"/>
    <n v="33"/>
    <x v="54"/>
    <x v="0"/>
    <x v="54"/>
    <n v="0.34399999999999997"/>
  </r>
  <r>
    <s v="Mum-TCL066"/>
    <x v="65"/>
    <x v="1"/>
    <n v="44"/>
    <n v="36"/>
    <n v="11"/>
    <n v="45"/>
    <n v="30"/>
    <x v="55"/>
    <x v="0"/>
    <x v="55"/>
    <n v="0.66799999999999993"/>
  </r>
  <r>
    <s v="Mum-TCL067"/>
    <x v="66"/>
    <x v="2"/>
    <n v="87"/>
    <n v="79"/>
    <n v="46"/>
    <n v="65"/>
    <n v="65"/>
    <x v="56"/>
    <x v="0"/>
    <x v="56"/>
    <n v="0.31599999999999995"/>
  </r>
  <r>
    <s v="Mum-TCL068"/>
    <x v="67"/>
    <x v="3"/>
    <n v="70"/>
    <n v="52"/>
    <n v="80"/>
    <n v="43"/>
    <n v="48"/>
    <x v="57"/>
    <x v="0"/>
    <x v="57"/>
    <n v="0.41400000000000003"/>
  </r>
  <r>
    <s v="Mum-TCL069"/>
    <x v="68"/>
    <x v="4"/>
    <n v="45"/>
    <n v="26"/>
    <n v="27"/>
    <n v="14"/>
    <n v="59"/>
    <x v="58"/>
    <x v="0"/>
    <x v="58"/>
    <n v="0.65799999999999992"/>
  </r>
  <r>
    <s v="Mum-TCL070"/>
    <x v="69"/>
    <x v="5"/>
    <n v="51"/>
    <n v="26"/>
    <n v="58"/>
    <n v="83"/>
    <n v="11"/>
    <x v="59"/>
    <x v="0"/>
    <x v="59"/>
    <n v="0.54200000000000004"/>
  </r>
  <r>
    <s v="Mum-TCL071"/>
    <x v="70"/>
    <x v="6"/>
    <n v="68"/>
    <n v="36"/>
    <n v="15"/>
    <n v="20"/>
    <n v="17"/>
    <x v="60"/>
    <x v="0"/>
    <x v="60"/>
    <n v="0.68799999999999994"/>
  </r>
  <r>
    <s v="Mum-TCL072"/>
    <x v="71"/>
    <x v="7"/>
    <n v="32"/>
    <n v="74"/>
    <n v="18"/>
    <n v="33"/>
    <n v="51"/>
    <x v="61"/>
    <x v="0"/>
    <x v="61"/>
    <n v="0.58400000000000007"/>
  </r>
  <r>
    <s v="Mum-TCL073"/>
    <x v="72"/>
    <x v="0"/>
    <n v="41"/>
    <n v="11"/>
    <n v="46"/>
    <n v="35"/>
    <n v="10"/>
    <x v="62"/>
    <x v="0"/>
    <x v="62"/>
    <n v="0.71399999999999997"/>
  </r>
  <r>
    <s v="Mum-TCL074"/>
    <x v="73"/>
    <x v="1"/>
    <n v="41"/>
    <n v="17"/>
    <n v="82"/>
    <n v="75"/>
    <n v="39"/>
    <x v="63"/>
    <x v="0"/>
    <x v="63"/>
    <n v="0.49199999999999999"/>
  </r>
  <r>
    <s v="Mum-TCL075"/>
    <x v="74"/>
    <x v="2"/>
    <n v="12"/>
    <n v="97"/>
    <n v="45"/>
    <n v="29"/>
    <n v="41"/>
    <x v="64"/>
    <x v="0"/>
    <x v="64"/>
    <n v="0.55200000000000005"/>
  </r>
  <r>
    <s v="Mum-TCL076"/>
    <x v="75"/>
    <x v="3"/>
    <n v="19"/>
    <n v="72"/>
    <n v="87"/>
    <n v="82"/>
    <n v="27"/>
    <x v="65"/>
    <x v="0"/>
    <x v="65"/>
    <n v="0.42600000000000005"/>
  </r>
  <r>
    <s v="Mum-TCL077"/>
    <x v="76"/>
    <x v="4"/>
    <n v="98"/>
    <n v="15"/>
    <n v="72"/>
    <n v="67"/>
    <n v="34"/>
    <x v="66"/>
    <x v="0"/>
    <x v="66"/>
    <n v="0.42800000000000005"/>
  </r>
  <r>
    <s v="Mum-TCL078"/>
    <x v="77"/>
    <x v="5"/>
    <n v="50"/>
    <n v="44"/>
    <n v="46"/>
    <n v="13"/>
    <n v="92"/>
    <x v="67"/>
    <x v="0"/>
    <x v="67"/>
    <n v="0.51"/>
  </r>
  <r>
    <s v="Mum-TCL079"/>
    <x v="78"/>
    <x v="6"/>
    <n v="40"/>
    <n v="82"/>
    <n v="72"/>
    <n v="42"/>
    <n v="45"/>
    <x v="68"/>
    <x v="0"/>
    <x v="68"/>
    <n v="0.43799999999999994"/>
  </r>
  <r>
    <s v="Mum-TCL080"/>
    <x v="79"/>
    <x v="7"/>
    <n v="23"/>
    <n v="83"/>
    <n v="63"/>
    <n v="65"/>
    <n v="83"/>
    <x v="69"/>
    <x v="0"/>
    <x v="69"/>
    <n v="0.36599999999999999"/>
  </r>
  <r>
    <s v="Mum-TCL081"/>
    <x v="80"/>
    <x v="0"/>
    <n v="71"/>
    <n v="94"/>
    <n v="45"/>
    <n v="95"/>
    <n v="46"/>
    <x v="70"/>
    <x v="0"/>
    <x v="70"/>
    <n v="0.29800000000000004"/>
  </r>
  <r>
    <s v="Mum-TCL082"/>
    <x v="81"/>
    <x v="1"/>
    <n v="48"/>
    <n v="49"/>
    <n v="68"/>
    <n v="23"/>
    <n v="21"/>
    <x v="71"/>
    <x v="0"/>
    <x v="71"/>
    <n v="0.58200000000000007"/>
  </r>
  <r>
    <s v="Mum-TCL083"/>
    <x v="82"/>
    <x v="2"/>
    <n v="77"/>
    <n v="83"/>
    <n v="64"/>
    <n v="53"/>
    <n v="13"/>
    <x v="72"/>
    <x v="0"/>
    <x v="72"/>
    <n v="0.42000000000000004"/>
  </r>
  <r>
    <s v="Mum-TCL084"/>
    <x v="83"/>
    <x v="3"/>
    <n v="81"/>
    <n v="63"/>
    <n v="88"/>
    <n v="89"/>
    <n v="63"/>
    <x v="73"/>
    <x v="0"/>
    <x v="73"/>
    <n v="0.23199999999999998"/>
  </r>
  <r>
    <s v="Mum-TCL085"/>
    <x v="84"/>
    <x v="4"/>
    <n v="39"/>
    <n v="87"/>
    <n v="62"/>
    <n v="80"/>
    <n v="81"/>
    <x v="74"/>
    <x v="0"/>
    <x v="74"/>
    <n v="0.30200000000000005"/>
  </r>
  <r>
    <s v="Mum-TCL086"/>
    <x v="85"/>
    <x v="5"/>
    <n v="46"/>
    <n v="19"/>
    <n v="59"/>
    <n v="58"/>
    <n v="33"/>
    <x v="75"/>
    <x v="0"/>
    <x v="75"/>
    <n v="0.57000000000000006"/>
  </r>
  <r>
    <s v="Mum-TCL087"/>
    <x v="86"/>
    <x v="6"/>
    <n v="34"/>
    <n v="15"/>
    <n v="43"/>
    <n v="63"/>
    <n v="54"/>
    <x v="71"/>
    <x v="0"/>
    <x v="71"/>
    <n v="0.58200000000000007"/>
  </r>
  <r>
    <s v="Mum-TCL088"/>
    <x v="87"/>
    <x v="7"/>
    <n v="32"/>
    <n v="79"/>
    <n v="65"/>
    <n v="57"/>
    <n v="73"/>
    <x v="13"/>
    <x v="0"/>
    <x v="13"/>
    <n v="0.38800000000000001"/>
  </r>
  <r>
    <s v="Mum-TCL089"/>
    <x v="88"/>
    <x v="0"/>
    <n v="72"/>
    <n v="82"/>
    <n v="58"/>
    <n v="36"/>
    <n v="33"/>
    <x v="68"/>
    <x v="0"/>
    <x v="68"/>
    <n v="0.43799999999999994"/>
  </r>
  <r>
    <s v="Mum-TCL090"/>
    <x v="89"/>
    <x v="1"/>
    <n v="11"/>
    <n v="69"/>
    <n v="49"/>
    <n v="90"/>
    <n v="99"/>
    <x v="76"/>
    <x v="0"/>
    <x v="76"/>
    <n v="0.36399999999999999"/>
  </r>
  <r>
    <s v="Mum-TCL091"/>
    <x v="90"/>
    <x v="2"/>
    <n v="80"/>
    <n v="73"/>
    <n v="21"/>
    <n v="72"/>
    <n v="54"/>
    <x v="49"/>
    <x v="0"/>
    <x v="49"/>
    <n v="0.4"/>
  </r>
  <r>
    <s v="Mum-TCL092"/>
    <x v="91"/>
    <x v="3"/>
    <n v="93"/>
    <n v="42"/>
    <n v="38"/>
    <n v="98"/>
    <n v="10"/>
    <x v="68"/>
    <x v="0"/>
    <x v="68"/>
    <n v="0.43799999999999994"/>
  </r>
  <r>
    <s v="Mum-TCL093"/>
    <x v="92"/>
    <x v="4"/>
    <n v="18"/>
    <n v="80"/>
    <n v="20"/>
    <n v="32"/>
    <n v="95"/>
    <x v="67"/>
    <x v="0"/>
    <x v="67"/>
    <n v="0.51"/>
  </r>
  <r>
    <s v="Mum-TCL094"/>
    <x v="93"/>
    <x v="5"/>
    <n v="96"/>
    <n v="14"/>
    <n v="20"/>
    <n v="31"/>
    <n v="44"/>
    <x v="77"/>
    <x v="0"/>
    <x v="77"/>
    <n v="0.59000000000000008"/>
  </r>
  <r>
    <s v="Mum-TCL095"/>
    <x v="94"/>
    <x v="6"/>
    <n v="37"/>
    <n v="60"/>
    <n v="50"/>
    <n v="68"/>
    <n v="19"/>
    <x v="78"/>
    <x v="0"/>
    <x v="78"/>
    <n v="0.53200000000000003"/>
  </r>
  <r>
    <s v="Mum-TCL096"/>
    <x v="95"/>
    <x v="7"/>
    <n v="35"/>
    <n v="79"/>
    <n v="17"/>
    <n v="85"/>
    <n v="16"/>
    <x v="35"/>
    <x v="0"/>
    <x v="35"/>
    <n v="0.53600000000000003"/>
  </r>
  <r>
    <s v="Mum-TCL097"/>
    <x v="96"/>
    <x v="0"/>
    <n v="31"/>
    <n v="48"/>
    <n v="56"/>
    <n v="85"/>
    <n v="25"/>
    <x v="67"/>
    <x v="0"/>
    <x v="67"/>
    <n v="0.51"/>
  </r>
  <r>
    <s v="Mum-TCL098"/>
    <x v="97"/>
    <x v="1"/>
    <n v="23"/>
    <n v="83"/>
    <n v="86"/>
    <n v="69"/>
    <n v="25"/>
    <x v="66"/>
    <x v="0"/>
    <x v="66"/>
    <n v="0.42800000000000005"/>
  </r>
  <r>
    <s v="Mum-TCL099"/>
    <x v="98"/>
    <x v="2"/>
    <n v="17"/>
    <n v="97"/>
    <n v="81"/>
    <n v="32"/>
    <n v="76"/>
    <x v="79"/>
    <x v="0"/>
    <x v="79"/>
    <n v="0.39400000000000002"/>
  </r>
  <r>
    <s v="Mum-TCL100"/>
    <x v="99"/>
    <x v="3"/>
    <n v="92"/>
    <n v="45"/>
    <n v="43"/>
    <n v="91"/>
    <n v="47"/>
    <x v="76"/>
    <x v="0"/>
    <x v="76"/>
    <n v="0.36399999999999999"/>
  </r>
  <r>
    <s v="Mum-TCL101"/>
    <x v="100"/>
    <x v="4"/>
    <n v="49"/>
    <n v="77"/>
    <n v="18"/>
    <n v="69"/>
    <n v="55"/>
    <x v="80"/>
    <x v="0"/>
    <x v="80"/>
    <n v="0.46399999999999997"/>
  </r>
  <r>
    <s v="Mum-TCL102"/>
    <x v="101"/>
    <x v="5"/>
    <n v="81"/>
    <n v="88"/>
    <n v="19"/>
    <n v="95"/>
    <n v="39"/>
    <x v="46"/>
    <x v="0"/>
    <x v="46"/>
    <n v="0.35599999999999998"/>
  </r>
  <r>
    <s v="Mum-TCL103"/>
    <x v="102"/>
    <x v="6"/>
    <n v="55"/>
    <n v="14"/>
    <n v="41"/>
    <n v="40"/>
    <n v="70"/>
    <x v="81"/>
    <x v="0"/>
    <x v="81"/>
    <n v="0.56000000000000005"/>
  </r>
  <r>
    <s v="Mum-TCL104"/>
    <x v="103"/>
    <x v="7"/>
    <n v="86"/>
    <n v="13"/>
    <n v="99"/>
    <n v="25"/>
    <n v="83"/>
    <x v="13"/>
    <x v="0"/>
    <x v="13"/>
    <n v="0.38800000000000001"/>
  </r>
  <r>
    <s v="Mum-TCL105"/>
    <x v="104"/>
    <x v="0"/>
    <n v="88"/>
    <n v="96"/>
    <n v="16"/>
    <n v="65"/>
    <n v="86"/>
    <x v="70"/>
    <x v="0"/>
    <x v="70"/>
    <n v="0.29800000000000004"/>
  </r>
  <r>
    <s v="Mum-TCL106"/>
    <x v="105"/>
    <x v="1"/>
    <n v="61"/>
    <n v="73"/>
    <n v="34"/>
    <n v="30"/>
    <n v="30"/>
    <x v="82"/>
    <x v="0"/>
    <x v="82"/>
    <n v="0.54400000000000004"/>
  </r>
  <r>
    <s v="Mum-TCL107"/>
    <x v="106"/>
    <x v="2"/>
    <n v="61"/>
    <n v="91"/>
    <n v="53"/>
    <n v="78"/>
    <n v="91"/>
    <x v="83"/>
    <x v="0"/>
    <x v="83"/>
    <n v="0.252"/>
  </r>
  <r>
    <s v="Mum-TCL108"/>
    <x v="107"/>
    <x v="3"/>
    <n v="75"/>
    <n v="53"/>
    <n v="27"/>
    <n v="26"/>
    <n v="30"/>
    <x v="84"/>
    <x v="0"/>
    <x v="84"/>
    <n v="0.57800000000000007"/>
  </r>
  <r>
    <s v="Mum-TCL109"/>
    <x v="108"/>
    <x v="4"/>
    <n v="24"/>
    <n v="31"/>
    <n v="41"/>
    <n v="57"/>
    <n v="83"/>
    <x v="85"/>
    <x v="0"/>
    <x v="85"/>
    <n v="0.52800000000000002"/>
  </r>
  <r>
    <s v="Mum-TCL110"/>
    <x v="109"/>
    <x v="5"/>
    <n v="83"/>
    <n v="62"/>
    <n v="32"/>
    <n v="83"/>
    <n v="95"/>
    <x v="86"/>
    <x v="0"/>
    <x v="86"/>
    <n v="0.29000000000000004"/>
  </r>
  <r>
    <s v="Mum-TCL111"/>
    <x v="110"/>
    <x v="6"/>
    <n v="39"/>
    <n v="52"/>
    <n v="72"/>
    <n v="99"/>
    <n v="58"/>
    <x v="87"/>
    <x v="0"/>
    <x v="87"/>
    <n v="0.36"/>
  </r>
  <r>
    <s v="Mum-TCL112"/>
    <x v="111"/>
    <x v="7"/>
    <n v="93"/>
    <n v="74"/>
    <n v="85"/>
    <n v="47"/>
    <n v="90"/>
    <x v="88"/>
    <x v="0"/>
    <x v="88"/>
    <n v="0.22199999999999998"/>
  </r>
  <r>
    <s v="Mum-TCL113"/>
    <x v="112"/>
    <x v="0"/>
    <n v="43"/>
    <n v="88"/>
    <n v="35"/>
    <n v="54"/>
    <n v="91"/>
    <x v="89"/>
    <x v="0"/>
    <x v="89"/>
    <n v="0.378"/>
  </r>
  <r>
    <s v="Mum-TCL114"/>
    <x v="113"/>
    <x v="1"/>
    <n v="87"/>
    <n v="15"/>
    <n v="11"/>
    <n v="42"/>
    <n v="88"/>
    <x v="90"/>
    <x v="0"/>
    <x v="90"/>
    <n v="0.51400000000000001"/>
  </r>
  <r>
    <s v="Mum-TCL115"/>
    <x v="114"/>
    <x v="2"/>
    <n v="45"/>
    <n v="45"/>
    <n v="61"/>
    <n v="11"/>
    <n v="52"/>
    <x v="31"/>
    <x v="0"/>
    <x v="31"/>
    <n v="0.57200000000000006"/>
  </r>
  <r>
    <s v="Mum-TCL116"/>
    <x v="115"/>
    <x v="3"/>
    <n v="71"/>
    <n v="42"/>
    <n v="17"/>
    <n v="57"/>
    <n v="96"/>
    <x v="91"/>
    <x v="0"/>
    <x v="91"/>
    <n v="0.43400000000000005"/>
  </r>
  <r>
    <s v="Mum-TCL117"/>
    <x v="116"/>
    <x v="4"/>
    <n v="26"/>
    <n v="65"/>
    <n v="17"/>
    <n v="28"/>
    <n v="30"/>
    <x v="55"/>
    <x v="0"/>
    <x v="55"/>
    <n v="0.66799999999999993"/>
  </r>
  <r>
    <s v="Mum-TCL118"/>
    <x v="117"/>
    <x v="5"/>
    <n v="26"/>
    <n v="61"/>
    <n v="89"/>
    <n v="71"/>
    <n v="33"/>
    <x v="92"/>
    <x v="0"/>
    <x v="92"/>
    <n v="0.43999999999999995"/>
  </r>
  <r>
    <s v="Mum-TCL119"/>
    <x v="118"/>
    <x v="6"/>
    <n v="93"/>
    <n v="11"/>
    <n v="93"/>
    <n v="31"/>
    <n v="30"/>
    <x v="93"/>
    <x v="0"/>
    <x v="93"/>
    <n v="0.48399999999999999"/>
  </r>
  <r>
    <s v="Mum-TCL120"/>
    <x v="119"/>
    <x v="7"/>
    <n v="65"/>
    <n v="92"/>
    <n v="48"/>
    <n v="96"/>
    <n v="15"/>
    <x v="94"/>
    <x v="0"/>
    <x v="94"/>
    <n v="0.36799999999999999"/>
  </r>
  <r>
    <s v="Mum-TCL121"/>
    <x v="120"/>
    <x v="0"/>
    <n v="91"/>
    <n v="38"/>
    <n v="33"/>
    <n v="55"/>
    <n v="83"/>
    <x v="49"/>
    <x v="0"/>
    <x v="49"/>
    <n v="0.4"/>
  </r>
  <r>
    <s v="Mum-TCL122"/>
    <x v="121"/>
    <x v="1"/>
    <n v="20"/>
    <n v="94"/>
    <n v="45"/>
    <n v="70"/>
    <n v="98"/>
    <x v="95"/>
    <x v="0"/>
    <x v="95"/>
    <n v="0.34599999999999997"/>
  </r>
  <r>
    <s v="Mum-TCL123"/>
    <x v="122"/>
    <x v="2"/>
    <n v="25"/>
    <n v="83"/>
    <n v="26"/>
    <n v="68"/>
    <n v="22"/>
    <x v="64"/>
    <x v="0"/>
    <x v="64"/>
    <n v="0.55200000000000005"/>
  </r>
  <r>
    <s v="Mum-TCL124"/>
    <x v="123"/>
    <x v="3"/>
    <n v="26"/>
    <n v="16"/>
    <n v="61"/>
    <n v="92"/>
    <n v="50"/>
    <x v="67"/>
    <x v="0"/>
    <x v="67"/>
    <n v="0.51"/>
  </r>
  <r>
    <s v="Mum-TCL125"/>
    <x v="124"/>
    <x v="4"/>
    <n v="31"/>
    <n v="55"/>
    <n v="75"/>
    <n v="66"/>
    <n v="75"/>
    <x v="96"/>
    <x v="0"/>
    <x v="96"/>
    <n v="0.39600000000000002"/>
  </r>
  <r>
    <s v="Mum-TCL126"/>
    <x v="125"/>
    <x v="5"/>
    <n v="41"/>
    <n v="66"/>
    <n v="48"/>
    <n v="70"/>
    <n v="48"/>
    <x v="97"/>
    <x v="0"/>
    <x v="97"/>
    <n v="0.45399999999999996"/>
  </r>
  <r>
    <s v="Mum-TCL127"/>
    <x v="126"/>
    <x v="6"/>
    <n v="60"/>
    <n v="92"/>
    <n v="32"/>
    <n v="60"/>
    <n v="78"/>
    <x v="46"/>
    <x v="0"/>
    <x v="46"/>
    <n v="0.35599999999999998"/>
  </r>
  <r>
    <s v="Mum-TCL128"/>
    <x v="127"/>
    <x v="7"/>
    <n v="42"/>
    <n v="24"/>
    <n v="19"/>
    <n v="82"/>
    <n v="16"/>
    <x v="20"/>
    <x v="0"/>
    <x v="20"/>
    <n v="0.63400000000000001"/>
  </r>
  <r>
    <s v="Mum-TCL129"/>
    <x v="128"/>
    <x v="0"/>
    <n v="26"/>
    <n v="85"/>
    <n v="75"/>
    <n v="83"/>
    <n v="37"/>
    <x v="13"/>
    <x v="0"/>
    <x v="13"/>
    <n v="0.38800000000000001"/>
  </r>
  <r>
    <s v="Mum-TCL130"/>
    <x v="129"/>
    <x v="1"/>
    <n v="81"/>
    <n v="68"/>
    <n v="74"/>
    <n v="72"/>
    <n v="12"/>
    <x v="98"/>
    <x v="0"/>
    <x v="98"/>
    <n v="0.38600000000000001"/>
  </r>
  <r>
    <s v="Mum-TCL131"/>
    <x v="130"/>
    <x v="2"/>
    <n v="90"/>
    <n v="79"/>
    <n v="99"/>
    <n v="60"/>
    <n v="27"/>
    <x v="86"/>
    <x v="0"/>
    <x v="86"/>
    <n v="0.29000000000000004"/>
  </r>
  <r>
    <s v="Mum-TCL132"/>
    <x v="131"/>
    <x v="3"/>
    <n v="71"/>
    <n v="21"/>
    <n v="70"/>
    <n v="53"/>
    <n v="49"/>
    <x v="33"/>
    <x v="0"/>
    <x v="33"/>
    <n v="0.47199999999999998"/>
  </r>
  <r>
    <s v="Mum-TCL133"/>
    <x v="132"/>
    <x v="4"/>
    <n v="86"/>
    <n v="60"/>
    <n v="59"/>
    <n v="51"/>
    <n v="90"/>
    <x v="99"/>
    <x v="0"/>
    <x v="99"/>
    <n v="0.30800000000000005"/>
  </r>
  <r>
    <s v="Mum-TCL134"/>
    <x v="133"/>
    <x v="5"/>
    <n v="68"/>
    <n v="61"/>
    <n v="12"/>
    <n v="41"/>
    <n v="35"/>
    <x v="50"/>
    <x v="0"/>
    <x v="50"/>
    <n v="0.56600000000000006"/>
  </r>
  <r>
    <s v="Mum-TCL135"/>
    <x v="134"/>
    <x v="6"/>
    <n v="65"/>
    <n v="34"/>
    <n v="15"/>
    <n v="86"/>
    <n v="71"/>
    <x v="100"/>
    <x v="0"/>
    <x v="100"/>
    <n v="0.45799999999999996"/>
  </r>
  <r>
    <s v="Mum-TCL136"/>
    <x v="135"/>
    <x v="7"/>
    <n v="91"/>
    <n v="21"/>
    <n v="59"/>
    <n v="85"/>
    <n v="60"/>
    <x v="94"/>
    <x v="0"/>
    <x v="94"/>
    <n v="0.36799999999999999"/>
  </r>
  <r>
    <s v="Mum-TCL137"/>
    <x v="136"/>
    <x v="0"/>
    <n v="73"/>
    <n v="67"/>
    <n v="49"/>
    <n v="56"/>
    <n v="43"/>
    <x v="3"/>
    <x v="0"/>
    <x v="3"/>
    <n v="0.42400000000000004"/>
  </r>
  <r>
    <s v="Mum-TCL138"/>
    <x v="137"/>
    <x v="1"/>
    <n v="72"/>
    <n v="49"/>
    <n v="93"/>
    <n v="95"/>
    <n v="73"/>
    <x v="101"/>
    <x v="0"/>
    <x v="101"/>
    <n v="0.23599999999999999"/>
  </r>
  <r>
    <s v="Mum-TCL139"/>
    <x v="138"/>
    <x v="2"/>
    <n v="85"/>
    <n v="43"/>
    <n v="74"/>
    <n v="26"/>
    <n v="88"/>
    <x v="94"/>
    <x v="0"/>
    <x v="94"/>
    <n v="0.36799999999999999"/>
  </r>
  <r>
    <s v="Mum-TCL140"/>
    <x v="139"/>
    <x v="3"/>
    <n v="77"/>
    <n v="81"/>
    <n v="10"/>
    <n v="65"/>
    <n v="83"/>
    <x v="94"/>
    <x v="0"/>
    <x v="94"/>
    <n v="0.36799999999999999"/>
  </r>
  <r>
    <s v="Mum-TCL141"/>
    <x v="140"/>
    <x v="4"/>
    <n v="46"/>
    <n v="52"/>
    <n v="57"/>
    <n v="67"/>
    <n v="64"/>
    <x v="66"/>
    <x v="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031B10-28ED-4738-A523-9630CAEA42FD}"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i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items count="2">
        <item x="0"/>
        <item t="default"/>
      </items>
    </pivotField>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33"/>
    </i>
    <i>
      <x v="41"/>
    </i>
    <i>
      <x v="98"/>
    </i>
    <i>
      <x v="114"/>
    </i>
    <i>
      <x v="122"/>
    </i>
  </rowItems>
  <colItems count="1">
    <i/>
  </colItems>
  <dataFields count="1">
    <dataField name="Total Sales " fld="8" baseField="1" baseItem="33"/>
  </dataFields>
  <formats count="1">
    <format dxfId="0">
      <pivotArea dataOnly="0"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E410D6-BD82-403C-BC63-52EE0C52BBCB}" name="PivotTable7"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es Exi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 fld="11" baseField="1" baseItem="7" numFmtId="10"/>
  </dataFields>
  <formats count="1">
    <format dxfId="1">
      <pivotArea dataOnly="0" outline="0" axis="axisValues" fieldPosition="0"/>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2"/>
          </reference>
        </references>
      </pivotArea>
    </chartFormat>
    <chartFormat chart="0" format="2">
      <pivotArea type="data" outline="0" fieldPosition="0">
        <references count="2">
          <reference field="4294967294" count="1" selected="0">
            <x v="0"/>
          </reference>
          <reference field="1" count="1" selected="0">
            <x v="74"/>
          </reference>
        </references>
      </pivotArea>
    </chartFormat>
    <chartFormat chart="0" format="3">
      <pivotArea type="data" outline="0" fieldPosition="0">
        <references count="2">
          <reference field="4294967294" count="1" selected="0">
            <x v="0"/>
          </reference>
          <reference field="1" count="1" selected="0">
            <x v="77"/>
          </reference>
        </references>
      </pivotArea>
    </chartFormat>
    <chartFormat chart="0" format="4">
      <pivotArea type="data" outline="0" fieldPosition="0">
        <references count="2">
          <reference field="4294967294" count="1" selected="0">
            <x v="0"/>
          </reference>
          <reference field="1" count="1" selected="0">
            <x v="26"/>
          </reference>
        </references>
      </pivotArea>
    </chartFormat>
    <chartFormat chart="0" format="5">
      <pivotArea type="data" outline="0" fieldPosition="0">
        <references count="2">
          <reference field="4294967294" count="1" selected="0">
            <x v="0"/>
          </reference>
          <reference field="1" count="1" selected="0">
            <x v="88"/>
          </reference>
        </references>
      </pivotArea>
    </chartFormat>
    <chartFormat chart="0" format="6">
      <pivotArea type="data" outline="0" fieldPosition="0">
        <references count="2">
          <reference field="4294967294" count="1" selected="0">
            <x v="0"/>
          </reference>
          <reference field="1" count="1" selected="0">
            <x v="128"/>
          </reference>
        </references>
      </pivotArea>
    </chartFormat>
    <chartFormat chart="0" format="7">
      <pivotArea type="data" outline="0" fieldPosition="0">
        <references count="2">
          <reference field="4294967294" count="1" selected="0">
            <x v="0"/>
          </reference>
          <reference field="1" count="1" selected="0">
            <x v="71"/>
          </reference>
        </references>
      </pivotArea>
    </chartFormat>
  </chartFormats>
  <pivotTableStyleInfo name="PivotStyleMedium1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733EBC5-E08E-4A78-8189-1FFA05F8083A}"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 Exi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 fld="10" baseField="1" baseItem="33" numFmtId="10"/>
  </dataFields>
  <formats count="1">
    <format dxfId="2">
      <pivotArea dataOnly="0" labelOnly="1" outline="0" axis="axisValues" fieldPosition="0"/>
    </format>
  </formats>
  <chartFormats count="3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5"/>
          </reference>
        </references>
      </pivotArea>
    </chartFormat>
    <chartFormat chart="0" format="8">
      <pivotArea type="data" outline="0" fieldPosition="0">
        <references count="2">
          <reference field="4294967294" count="1" selected="0">
            <x v="0"/>
          </reference>
          <reference field="1" count="1" selected="0">
            <x v="8"/>
          </reference>
        </references>
      </pivotArea>
    </chartFormat>
    <chartFormat chart="0" format="9">
      <pivotArea type="data" outline="0" fieldPosition="0">
        <references count="2">
          <reference field="4294967294" count="1" selected="0">
            <x v="0"/>
          </reference>
          <reference field="1" count="1" selected="0">
            <x v="58"/>
          </reference>
        </references>
      </pivotArea>
    </chartFormat>
    <chartFormat chart="0" format="10">
      <pivotArea type="data" outline="0" fieldPosition="0">
        <references count="2">
          <reference field="4294967294" count="1" selected="0">
            <x v="0"/>
          </reference>
          <reference field="1" count="1" selected="0">
            <x v="107"/>
          </reference>
        </references>
      </pivotArea>
    </chartFormat>
    <chartFormat chart="0" format="11">
      <pivotArea type="data" outline="0" fieldPosition="0">
        <references count="2">
          <reference field="4294967294" count="1" selected="0">
            <x v="0"/>
          </reference>
          <reference field="1" count="1" selected="0">
            <x v="115"/>
          </reference>
        </references>
      </pivotArea>
    </chartFormat>
    <chartFormat chart="0" format="12">
      <pivotArea type="data" outline="0" fieldPosition="0">
        <references count="2">
          <reference field="4294967294" count="1" selected="0">
            <x v="0"/>
          </reference>
          <reference field="1" count="1" selected="0">
            <x v="123"/>
          </reference>
        </references>
      </pivotArea>
    </chartFormat>
    <chartFormat chart="0" format="13">
      <pivotArea type="data" outline="0" fieldPosition="0">
        <references count="2">
          <reference field="4294967294" count="1" selected="0">
            <x v="0"/>
          </reference>
          <reference field="1" count="1" selected="0">
            <x v="41"/>
          </reference>
        </references>
      </pivotArea>
    </chartFormat>
    <chartFormat chart="0" format="14">
      <pivotArea type="data" outline="0" fieldPosition="0">
        <references count="2">
          <reference field="4294967294" count="1" selected="0">
            <x v="0"/>
          </reference>
          <reference field="1" count="1" selected="0">
            <x v="98"/>
          </reference>
        </references>
      </pivotArea>
    </chartFormat>
    <chartFormat chart="0" format="15">
      <pivotArea type="data" outline="0" fieldPosition="0">
        <references count="2">
          <reference field="4294967294" count="1" selected="0">
            <x v="0"/>
          </reference>
          <reference field="1" count="1" selected="0">
            <x v="114"/>
          </reference>
        </references>
      </pivotArea>
    </chartFormat>
    <chartFormat chart="0" format="16">
      <pivotArea type="data" outline="0" fieldPosition="0">
        <references count="2">
          <reference field="4294967294" count="1" selected="0">
            <x v="0"/>
          </reference>
          <reference field="1" count="1" selected="0">
            <x v="122"/>
          </reference>
        </references>
      </pivotArea>
    </chartFormat>
    <chartFormat chart="0" format="17">
      <pivotArea type="data" outline="0" fieldPosition="0">
        <references count="2">
          <reference field="4294967294" count="1" selected="0">
            <x v="0"/>
          </reference>
          <reference field="1" count="1" selected="0">
            <x v="1"/>
          </reference>
        </references>
      </pivotArea>
    </chartFormat>
    <chartFormat chart="0" format="18">
      <pivotArea type="data" outline="0" fieldPosition="0">
        <references count="2">
          <reference field="4294967294" count="1" selected="0">
            <x v="0"/>
          </reference>
          <reference field="1" count="1" selected="0">
            <x v="43"/>
          </reference>
        </references>
      </pivotArea>
    </chartFormat>
    <chartFormat chart="0" format="19">
      <pivotArea type="data" outline="0" fieldPosition="0">
        <references count="2">
          <reference field="4294967294" count="1" selected="0">
            <x v="0"/>
          </reference>
          <reference field="1" count="1" selected="0">
            <x v="116"/>
          </reference>
        </references>
      </pivotArea>
    </chartFormat>
    <chartFormat chart="0" format="20">
      <pivotArea type="data" outline="0" fieldPosition="0">
        <references count="2">
          <reference field="4294967294" count="1" selected="0">
            <x v="0"/>
          </reference>
          <reference field="1" count="1" selected="0">
            <x v="132"/>
          </reference>
        </references>
      </pivotArea>
    </chartFormat>
    <chartFormat chart="0" format="21">
      <pivotArea type="data" outline="0" fieldPosition="0">
        <references count="2">
          <reference field="4294967294" count="1" selected="0">
            <x v="0"/>
          </reference>
          <reference field="1" count="1" selected="0">
            <x v="16"/>
          </reference>
        </references>
      </pivotArea>
    </chartFormat>
    <chartFormat chart="0" format="22">
      <pivotArea type="data" outline="0" fieldPosition="0">
        <references count="2">
          <reference field="4294967294" count="1" selected="0">
            <x v="0"/>
          </reference>
          <reference field="1" count="1" selected="0">
            <x v="32"/>
          </reference>
        </references>
      </pivotArea>
    </chartFormat>
    <chartFormat chart="0" format="23">
      <pivotArea type="data" outline="0" fieldPosition="0">
        <references count="2">
          <reference field="4294967294" count="1" selected="0">
            <x v="0"/>
          </reference>
          <reference field="1" count="1" selected="0">
            <x v="64"/>
          </reference>
        </references>
      </pivotArea>
    </chartFormat>
    <chartFormat chart="0" format="24">
      <pivotArea type="data" outline="0" fieldPosition="0">
        <references count="2">
          <reference field="4294967294" count="1" selected="0">
            <x v="0"/>
          </reference>
          <reference field="1" count="1" selected="0">
            <x v="129"/>
          </reference>
        </references>
      </pivotArea>
    </chartFormat>
    <chartFormat chart="0" format="25">
      <pivotArea type="data" outline="0" fieldPosition="0">
        <references count="2">
          <reference field="4294967294" count="1" selected="0">
            <x v="0"/>
          </reference>
          <reference field="1" count="1" selected="0">
            <x v="137"/>
          </reference>
        </references>
      </pivotArea>
    </chartFormat>
    <chartFormat chart="0" format="26">
      <pivotArea type="data" outline="0" fieldPosition="0">
        <references count="2">
          <reference field="4294967294" count="1" selected="0">
            <x v="0"/>
          </reference>
          <reference field="1" count="1" selected="0">
            <x v="10"/>
          </reference>
        </references>
      </pivotArea>
    </chartFormat>
    <chartFormat chart="0" format="27">
      <pivotArea type="data" outline="0" fieldPosition="0">
        <references count="2">
          <reference field="4294967294" count="1" selected="0">
            <x v="0"/>
          </reference>
          <reference field="1" count="1" selected="0">
            <x v="36"/>
          </reference>
        </references>
      </pivotArea>
    </chartFormat>
    <chartFormat chart="0" format="28">
      <pivotArea type="data" outline="0" fieldPosition="0">
        <references count="2">
          <reference field="4294967294" count="1" selected="0">
            <x v="0"/>
          </reference>
          <reference field="1" count="1" selected="0">
            <x v="76"/>
          </reference>
        </references>
      </pivotArea>
    </chartFormat>
    <chartFormat chart="0" format="29">
      <pivotArea type="data" outline="0" fieldPosition="0">
        <references count="2">
          <reference field="4294967294" count="1" selected="0">
            <x v="0"/>
          </reference>
          <reference field="1" count="1" selected="0">
            <x v="117"/>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04893EC-2B4C-49D7-B410-4076788CAD2A}"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i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items count="2">
        <item x="0"/>
        <item t="default"/>
      </items>
    </pivotField>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33"/>
    </i>
    <i>
      <x v="41"/>
    </i>
    <i>
      <x v="98"/>
    </i>
    <i>
      <x v="114"/>
    </i>
    <i>
      <x v="122"/>
    </i>
  </rowItems>
  <colItems count="1">
    <i/>
  </colItems>
  <dataFields count="1">
    <dataField name="Total Sales  " fld="8" baseField="1" baseItem="33"/>
  </dataFields>
  <formats count="1">
    <format dxfId="3">
      <pivotArea dataOnly="0" outline="0" axis="axisValues" fieldPosition="0"/>
    </format>
  </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5BADC51-4348-493F-9BDD-224AD193B104}" sourceName="Region">
  <pivotTables>
    <pivotTable tabId="3" name="PivotTable4"/>
    <pivotTable tabId="3" name="PivotTable5"/>
    <pivotTable tabId="3" name="PivotTable6"/>
    <pivotTable tabId="3" name="PivotTable7"/>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7E4A3C7-ADDE-4241-80B0-F288E6DC7F8C}" cache="Slicer_Region1" caption="Region" columnCount="8" showCaption="0"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E5A2C-34EB-4094-9DE7-F379695C26CD}">
  <sheetPr codeName="Sheet3"/>
  <dimension ref="A1:W25"/>
  <sheetViews>
    <sheetView showGridLines="0" tabSelected="1" zoomScaleNormal="100" workbookViewId="0">
      <selection activeCell="A14" sqref="A14"/>
    </sheetView>
  </sheetViews>
  <sheetFormatPr defaultRowHeight="14.4" x14ac:dyDescent="0.3"/>
  <cols>
    <col min="1" max="1" width="23.33203125" customWidth="1"/>
    <col min="2" max="2" width="15.44140625" bestFit="1" customWidth="1"/>
    <col min="3" max="3" width="14.88671875" customWidth="1"/>
    <col min="4" max="4" width="3.44140625" customWidth="1"/>
    <col min="5" max="5" width="15" bestFit="1" customWidth="1"/>
    <col min="6" max="6" width="16.44140625" bestFit="1" customWidth="1"/>
    <col min="7" max="7" width="2.33203125" customWidth="1"/>
    <col min="8" max="8" width="15" bestFit="1" customWidth="1"/>
    <col min="9" max="9" width="17.21875" bestFit="1" customWidth="1"/>
    <col min="10" max="10" width="2.5546875" customWidth="1"/>
    <col min="11" max="11" width="16.109375" bestFit="1" customWidth="1"/>
    <col min="12" max="12" width="26.77734375" customWidth="1"/>
    <col min="13" max="104" width="4" bestFit="1" customWidth="1"/>
    <col min="105" max="105" width="10.77734375" bestFit="1" customWidth="1"/>
  </cols>
  <sheetData>
    <row r="1" spans="1:23" ht="31.2" customHeight="1" x14ac:dyDescent="0.3">
      <c r="A1" s="12"/>
      <c r="B1" s="12"/>
      <c r="C1" s="12"/>
      <c r="D1" s="12"/>
      <c r="E1" s="12"/>
      <c r="F1" s="12"/>
      <c r="G1" s="12"/>
      <c r="H1" s="12"/>
      <c r="I1" s="12"/>
      <c r="J1" s="12"/>
      <c r="K1" s="12"/>
      <c r="L1" s="12"/>
      <c r="M1" s="12"/>
      <c r="N1" s="12"/>
      <c r="O1" s="12"/>
      <c r="P1" s="12"/>
      <c r="Q1" s="12"/>
      <c r="R1" s="12"/>
      <c r="S1" s="12"/>
      <c r="T1" s="12"/>
      <c r="U1" s="12"/>
      <c r="V1" s="12"/>
      <c r="W1" s="12"/>
    </row>
    <row r="2" spans="1:23" ht="47.4" customHeight="1" x14ac:dyDescent="0.3">
      <c r="A2" s="12"/>
      <c r="B2" s="12"/>
      <c r="C2" s="12"/>
      <c r="D2" s="12"/>
      <c r="E2" s="12"/>
      <c r="F2" s="12"/>
      <c r="G2" s="12"/>
      <c r="H2" s="12"/>
      <c r="I2" s="12"/>
      <c r="J2" s="12"/>
      <c r="K2" s="12"/>
      <c r="L2" s="12"/>
      <c r="M2" s="12"/>
      <c r="N2" s="12"/>
      <c r="O2" s="12"/>
      <c r="P2" s="12"/>
      <c r="Q2" s="12"/>
      <c r="R2" s="12"/>
      <c r="S2" s="12"/>
      <c r="T2" s="12"/>
      <c r="U2" s="12"/>
      <c r="V2" s="12"/>
      <c r="W2" s="12"/>
    </row>
    <row r="3" spans="1:23" x14ac:dyDescent="0.3">
      <c r="A3" s="12"/>
      <c r="B3" s="9" t="s">
        <v>302</v>
      </c>
      <c r="C3" s="13" t="s">
        <v>301</v>
      </c>
      <c r="D3" s="12"/>
      <c r="E3" s="9" t="s">
        <v>302</v>
      </c>
      <c r="F3" s="13" t="s">
        <v>304</v>
      </c>
      <c r="G3" s="12"/>
      <c r="H3" s="9" t="s">
        <v>302</v>
      </c>
      <c r="I3" s="13" t="s">
        <v>305</v>
      </c>
      <c r="J3" s="12"/>
      <c r="K3" s="9" t="s">
        <v>303</v>
      </c>
      <c r="L3" s="13" t="s">
        <v>306</v>
      </c>
      <c r="M3" s="12"/>
      <c r="N3" s="12"/>
      <c r="O3" s="12"/>
      <c r="P3" s="12"/>
      <c r="Q3" s="12"/>
      <c r="R3" s="12"/>
      <c r="S3" s="12"/>
      <c r="T3" s="12"/>
      <c r="U3" s="12"/>
      <c r="V3" s="12"/>
      <c r="W3" s="12"/>
    </row>
    <row r="4" spans="1:23" x14ac:dyDescent="0.3">
      <c r="A4" s="12"/>
      <c r="B4" s="10" t="s">
        <v>238</v>
      </c>
      <c r="C4">
        <v>355</v>
      </c>
      <c r="D4" s="12"/>
      <c r="E4" s="10" t="s">
        <v>238</v>
      </c>
      <c r="F4">
        <v>355</v>
      </c>
      <c r="G4" s="12"/>
      <c r="H4" s="10" t="s">
        <v>238</v>
      </c>
      <c r="I4" s="11">
        <v>0.71</v>
      </c>
      <c r="J4" s="12"/>
      <c r="K4" s="10" t="s">
        <v>286</v>
      </c>
      <c r="L4" s="11">
        <v>0.56600000000000006</v>
      </c>
      <c r="M4" s="12"/>
      <c r="N4" s="12"/>
      <c r="O4" s="12"/>
      <c r="P4" s="12"/>
      <c r="Q4" s="12"/>
      <c r="R4" s="12"/>
      <c r="S4" s="12"/>
      <c r="T4" s="12"/>
      <c r="U4" s="12"/>
      <c r="V4" s="12"/>
      <c r="W4" s="12"/>
    </row>
    <row r="5" spans="1:23" x14ac:dyDescent="0.3">
      <c r="A5" s="12"/>
      <c r="B5" s="10" t="s">
        <v>222</v>
      </c>
      <c r="C5">
        <v>322</v>
      </c>
      <c r="D5" s="12"/>
      <c r="E5" s="10" t="s">
        <v>222</v>
      </c>
      <c r="F5">
        <v>322</v>
      </c>
      <c r="G5" s="12"/>
      <c r="H5" s="10" t="s">
        <v>222</v>
      </c>
      <c r="I5" s="11">
        <v>0.64400000000000002</v>
      </c>
      <c r="J5" s="12"/>
      <c r="K5" s="10" t="s">
        <v>206</v>
      </c>
      <c r="L5" s="11">
        <v>0.59000000000000008</v>
      </c>
      <c r="M5" s="12"/>
      <c r="N5" s="12"/>
      <c r="O5" s="12"/>
      <c r="P5" s="12"/>
      <c r="Q5" s="12"/>
      <c r="R5" s="12"/>
      <c r="S5" s="12"/>
      <c r="T5" s="12"/>
      <c r="U5" s="12"/>
      <c r="V5" s="12"/>
      <c r="W5" s="12"/>
    </row>
    <row r="6" spans="1:23" x14ac:dyDescent="0.3">
      <c r="A6" s="12"/>
      <c r="B6" s="10" t="s">
        <v>110</v>
      </c>
      <c r="C6">
        <v>350</v>
      </c>
      <c r="D6" s="12"/>
      <c r="E6" s="10" t="s">
        <v>110</v>
      </c>
      <c r="F6">
        <v>350</v>
      </c>
      <c r="G6" s="12"/>
      <c r="H6" s="10" t="s">
        <v>110</v>
      </c>
      <c r="I6" s="11">
        <v>0.7</v>
      </c>
      <c r="J6" s="12"/>
      <c r="K6" s="10" t="s">
        <v>190</v>
      </c>
      <c r="L6" s="11">
        <v>0.57000000000000006</v>
      </c>
      <c r="M6" s="12"/>
      <c r="N6" s="12"/>
      <c r="O6" s="12"/>
      <c r="P6" s="12"/>
      <c r="Q6" s="12"/>
      <c r="R6" s="12"/>
      <c r="S6" s="12"/>
      <c r="T6" s="12"/>
      <c r="U6" s="12"/>
      <c r="V6" s="12"/>
      <c r="W6" s="12"/>
    </row>
    <row r="7" spans="1:23" x14ac:dyDescent="0.3">
      <c r="A7" s="12"/>
      <c r="B7" s="10" t="s">
        <v>78</v>
      </c>
      <c r="C7">
        <v>353</v>
      </c>
      <c r="D7" s="12"/>
      <c r="E7" s="10" t="s">
        <v>78</v>
      </c>
      <c r="F7">
        <v>353</v>
      </c>
      <c r="G7" s="12"/>
      <c r="H7" s="10" t="s">
        <v>78</v>
      </c>
      <c r="I7" s="11">
        <v>0.70599999999999996</v>
      </c>
      <c r="J7" s="12"/>
      <c r="K7" s="10" t="s">
        <v>158</v>
      </c>
      <c r="L7" s="11">
        <v>0.54200000000000004</v>
      </c>
      <c r="M7" s="12"/>
      <c r="N7" s="12"/>
      <c r="O7" s="12"/>
      <c r="P7" s="12"/>
      <c r="Q7" s="12"/>
      <c r="R7" s="12"/>
      <c r="S7" s="12"/>
      <c r="T7" s="12"/>
      <c r="U7" s="12"/>
      <c r="V7" s="12"/>
      <c r="W7" s="12"/>
    </row>
    <row r="8" spans="1:23" x14ac:dyDescent="0.3">
      <c r="A8" s="12"/>
      <c r="B8" s="10" t="s">
        <v>62</v>
      </c>
      <c r="C8">
        <v>301</v>
      </c>
      <c r="D8" s="12"/>
      <c r="E8" s="10" t="s">
        <v>62</v>
      </c>
      <c r="F8">
        <v>301</v>
      </c>
      <c r="G8" s="12"/>
      <c r="H8" s="10" t="s">
        <v>62</v>
      </c>
      <c r="I8" s="11">
        <v>0.60199999999999998</v>
      </c>
      <c r="J8" s="12"/>
      <c r="K8" s="10" t="s">
        <v>126</v>
      </c>
      <c r="L8" s="11">
        <v>0.622</v>
      </c>
      <c r="M8" s="12"/>
      <c r="N8" s="12"/>
      <c r="O8" s="12"/>
      <c r="P8" s="12"/>
      <c r="Q8" s="12"/>
      <c r="R8" s="12"/>
      <c r="S8" s="12"/>
      <c r="T8" s="12"/>
      <c r="U8" s="12"/>
      <c r="V8" s="12"/>
      <c r="W8" s="12"/>
    </row>
    <row r="9" spans="1:23" ht="37.200000000000003" customHeight="1" x14ac:dyDescent="0.3">
      <c r="A9" s="12"/>
      <c r="B9" s="12"/>
      <c r="C9" s="12"/>
      <c r="D9" s="12"/>
      <c r="E9" s="12"/>
      <c r="F9" s="12"/>
      <c r="G9" s="12"/>
      <c r="H9" s="12"/>
      <c r="I9" s="12"/>
      <c r="J9" s="12"/>
      <c r="K9" s="12"/>
      <c r="L9" s="12"/>
      <c r="M9" s="12"/>
      <c r="N9" s="12"/>
      <c r="O9" s="12"/>
      <c r="P9" s="12"/>
      <c r="Q9" s="12"/>
      <c r="R9" s="12"/>
      <c r="S9" s="12"/>
      <c r="T9" s="12"/>
      <c r="U9" s="12"/>
      <c r="V9" s="12"/>
      <c r="W9" s="12"/>
    </row>
    <row r="10" spans="1:23" x14ac:dyDescent="0.3">
      <c r="A10" s="12"/>
      <c r="B10" s="12"/>
      <c r="C10" s="12"/>
      <c r="D10" s="12"/>
      <c r="E10" s="12"/>
      <c r="F10" s="12"/>
      <c r="G10" s="12"/>
      <c r="H10" s="12"/>
      <c r="I10" s="12"/>
      <c r="J10" s="12"/>
      <c r="K10" s="12"/>
      <c r="L10" s="12"/>
      <c r="M10" s="12"/>
      <c r="N10" s="12"/>
      <c r="O10" s="12"/>
      <c r="P10" s="12"/>
      <c r="Q10" s="12"/>
      <c r="R10" s="12"/>
      <c r="S10" s="12"/>
      <c r="T10" s="12"/>
      <c r="U10" s="12"/>
      <c r="V10" s="12"/>
      <c r="W10" s="12"/>
    </row>
    <row r="11" spans="1:23" x14ac:dyDescent="0.3">
      <c r="A11" s="12"/>
      <c r="B11" s="12"/>
      <c r="C11" s="12"/>
      <c r="D11" s="12"/>
      <c r="E11" s="12"/>
      <c r="F11" s="12"/>
      <c r="G11" s="12"/>
      <c r="H11" s="12"/>
      <c r="I11" s="12"/>
      <c r="J11" s="12"/>
      <c r="K11" s="12"/>
      <c r="L11" s="12"/>
      <c r="M11" s="12"/>
      <c r="N11" s="12"/>
      <c r="O11" s="12"/>
      <c r="P11" s="12"/>
      <c r="Q11" s="12"/>
      <c r="R11" s="12"/>
      <c r="S11" s="12"/>
      <c r="T11" s="12"/>
      <c r="U11" s="12"/>
      <c r="V11" s="12"/>
      <c r="W11" s="12"/>
    </row>
    <row r="12" spans="1:23" x14ac:dyDescent="0.3">
      <c r="A12" s="12"/>
      <c r="B12" s="12"/>
      <c r="C12" s="12"/>
      <c r="D12" s="12"/>
      <c r="E12" s="12"/>
      <c r="F12" s="12"/>
      <c r="G12" s="12"/>
      <c r="H12" s="12"/>
      <c r="I12" s="12"/>
      <c r="J12" s="12"/>
      <c r="K12" s="12"/>
      <c r="L12" s="12"/>
      <c r="M12" s="12"/>
      <c r="N12" s="12"/>
      <c r="O12" s="12"/>
      <c r="P12" s="12"/>
      <c r="Q12" s="12"/>
      <c r="R12" s="12"/>
      <c r="S12" s="12"/>
      <c r="T12" s="12"/>
      <c r="U12" s="12"/>
      <c r="V12" s="12"/>
      <c r="W12" s="12"/>
    </row>
    <row r="13" spans="1:23" x14ac:dyDescent="0.3">
      <c r="A13" s="12"/>
      <c r="B13" s="12"/>
      <c r="C13" s="12"/>
      <c r="D13" s="12"/>
      <c r="E13" s="12"/>
      <c r="F13" s="12"/>
      <c r="G13" s="12"/>
      <c r="H13" s="12"/>
      <c r="I13" s="12"/>
      <c r="J13" s="12"/>
      <c r="K13" s="12"/>
      <c r="L13" s="12"/>
      <c r="M13" s="12"/>
      <c r="N13" s="12"/>
      <c r="O13" s="12"/>
      <c r="P13" s="12"/>
      <c r="Q13" s="12"/>
      <c r="R13" s="12"/>
      <c r="S13" s="12"/>
      <c r="T13" s="12"/>
      <c r="U13" s="12"/>
      <c r="V13" s="12"/>
      <c r="W13" s="12"/>
    </row>
    <row r="14" spans="1:23" x14ac:dyDescent="0.3">
      <c r="A14" s="12"/>
      <c r="B14" s="12"/>
      <c r="C14" s="12"/>
      <c r="D14" s="12"/>
      <c r="E14" s="12"/>
      <c r="F14" s="12"/>
      <c r="G14" s="12"/>
      <c r="H14" s="12"/>
      <c r="I14" s="12"/>
      <c r="J14" s="12"/>
      <c r="K14" s="12"/>
      <c r="L14" s="12"/>
      <c r="M14" s="12"/>
      <c r="N14" s="12"/>
      <c r="O14" s="12"/>
      <c r="P14" s="12"/>
      <c r="Q14" s="12"/>
      <c r="R14" s="12"/>
      <c r="S14" s="12"/>
      <c r="T14" s="12"/>
      <c r="U14" s="12"/>
      <c r="V14" s="12"/>
      <c r="W14" s="12"/>
    </row>
    <row r="15" spans="1:23" x14ac:dyDescent="0.3">
      <c r="A15" s="12"/>
      <c r="B15" s="12"/>
      <c r="C15" s="12"/>
      <c r="D15" s="12"/>
      <c r="E15" s="12"/>
      <c r="F15" s="12"/>
      <c r="G15" s="12"/>
      <c r="H15" s="12"/>
      <c r="I15" s="12"/>
      <c r="J15" s="12"/>
      <c r="K15" s="12"/>
      <c r="L15" s="12"/>
      <c r="M15" s="12"/>
      <c r="N15" s="12"/>
      <c r="O15" s="12"/>
      <c r="P15" s="12"/>
      <c r="Q15" s="12"/>
      <c r="R15" s="12"/>
      <c r="S15" s="12"/>
      <c r="T15" s="12"/>
      <c r="U15" s="12"/>
      <c r="V15" s="12"/>
      <c r="W15" s="12"/>
    </row>
    <row r="16" spans="1:23" x14ac:dyDescent="0.3">
      <c r="A16" s="12"/>
      <c r="B16" s="12"/>
      <c r="C16" s="12"/>
      <c r="D16" s="12"/>
      <c r="E16" s="12"/>
      <c r="F16" s="12"/>
      <c r="G16" s="12"/>
      <c r="H16" s="12"/>
      <c r="I16" s="12"/>
      <c r="J16" s="12"/>
      <c r="K16" s="12"/>
      <c r="L16" s="12"/>
      <c r="M16" s="12"/>
      <c r="N16" s="12"/>
      <c r="O16" s="12"/>
      <c r="P16" s="12"/>
      <c r="Q16" s="12"/>
      <c r="R16" s="12"/>
      <c r="S16" s="12"/>
      <c r="T16" s="12"/>
      <c r="U16" s="12"/>
      <c r="V16" s="12"/>
      <c r="W16" s="12"/>
    </row>
    <row r="17" spans="1:23" x14ac:dyDescent="0.3">
      <c r="A17" s="12"/>
      <c r="B17" s="12"/>
      <c r="C17" s="12"/>
      <c r="D17" s="12"/>
      <c r="E17" s="12"/>
      <c r="F17" s="12"/>
      <c r="G17" s="12"/>
      <c r="H17" s="12"/>
      <c r="I17" s="12"/>
      <c r="J17" s="12"/>
      <c r="K17" s="12"/>
      <c r="L17" s="12"/>
      <c r="M17" s="12"/>
      <c r="N17" s="12"/>
      <c r="O17" s="12"/>
      <c r="P17" s="12"/>
      <c r="Q17" s="12"/>
      <c r="R17" s="12"/>
      <c r="S17" s="12"/>
      <c r="T17" s="12"/>
      <c r="U17" s="12"/>
      <c r="V17" s="12"/>
      <c r="W17" s="12"/>
    </row>
    <row r="18" spans="1:23" x14ac:dyDescent="0.3">
      <c r="A18" s="12"/>
      <c r="B18" s="12"/>
      <c r="C18" s="12"/>
      <c r="D18" s="12"/>
      <c r="E18" s="12"/>
      <c r="F18" s="12"/>
      <c r="G18" s="12"/>
      <c r="H18" s="12"/>
      <c r="I18" s="12"/>
      <c r="J18" s="12"/>
      <c r="K18" s="12"/>
      <c r="L18" s="12"/>
      <c r="M18" s="12"/>
      <c r="N18" s="12"/>
      <c r="O18" s="12"/>
      <c r="P18" s="12"/>
      <c r="Q18" s="12"/>
      <c r="R18" s="12"/>
      <c r="S18" s="12"/>
      <c r="T18" s="12"/>
      <c r="U18" s="12"/>
      <c r="V18" s="12"/>
      <c r="W18" s="12"/>
    </row>
    <row r="19" spans="1:23" x14ac:dyDescent="0.3">
      <c r="A19" s="12"/>
      <c r="B19" s="12"/>
      <c r="C19" s="12"/>
      <c r="D19" s="12"/>
      <c r="E19" s="12"/>
      <c r="F19" s="12"/>
      <c r="G19" s="12"/>
      <c r="H19" s="12"/>
      <c r="I19" s="12"/>
      <c r="J19" s="12"/>
      <c r="K19" s="12"/>
      <c r="L19" s="12"/>
      <c r="M19" s="12"/>
      <c r="N19" s="12"/>
      <c r="O19" s="12"/>
      <c r="P19" s="12"/>
      <c r="Q19" s="12"/>
      <c r="R19" s="12"/>
      <c r="S19" s="12"/>
      <c r="T19" s="12"/>
      <c r="U19" s="12"/>
      <c r="V19" s="12"/>
      <c r="W19" s="12"/>
    </row>
    <row r="20" spans="1:23" x14ac:dyDescent="0.3">
      <c r="A20" s="12"/>
      <c r="B20" s="12"/>
      <c r="C20" s="12"/>
      <c r="D20" s="12"/>
      <c r="E20" s="12"/>
      <c r="F20" s="12"/>
      <c r="G20" s="12"/>
      <c r="H20" s="12"/>
      <c r="I20" s="12"/>
      <c r="J20" s="12"/>
      <c r="K20" s="12"/>
      <c r="L20" s="12"/>
      <c r="M20" s="12"/>
      <c r="N20" s="12"/>
      <c r="O20" s="12"/>
      <c r="P20" s="12"/>
      <c r="Q20" s="12"/>
      <c r="R20" s="12"/>
      <c r="S20" s="12"/>
      <c r="T20" s="12"/>
      <c r="U20" s="12"/>
      <c r="V20" s="12"/>
      <c r="W20" s="12"/>
    </row>
    <row r="21" spans="1:23" x14ac:dyDescent="0.3">
      <c r="A21" s="12"/>
      <c r="B21" s="12"/>
      <c r="C21" s="12"/>
      <c r="D21" s="12"/>
      <c r="E21" s="12"/>
      <c r="F21" s="12"/>
      <c r="G21" s="12"/>
      <c r="H21" s="12"/>
      <c r="I21" s="12"/>
      <c r="J21" s="12"/>
      <c r="K21" s="12"/>
      <c r="L21" s="12"/>
      <c r="M21" s="12"/>
      <c r="N21" s="12"/>
      <c r="O21" s="12"/>
      <c r="P21" s="12"/>
      <c r="Q21" s="12"/>
      <c r="R21" s="12"/>
      <c r="S21" s="12"/>
      <c r="T21" s="12"/>
      <c r="U21" s="12"/>
      <c r="V21" s="12"/>
      <c r="W21" s="12"/>
    </row>
    <row r="22" spans="1:23" x14ac:dyDescent="0.3">
      <c r="A22" s="12"/>
      <c r="B22" s="12"/>
      <c r="C22" s="12"/>
      <c r="D22" s="12"/>
      <c r="E22" s="12"/>
      <c r="F22" s="12"/>
      <c r="G22" s="12"/>
      <c r="H22" s="12"/>
      <c r="I22" s="12"/>
      <c r="J22" s="12"/>
      <c r="K22" s="12"/>
      <c r="L22" s="12"/>
      <c r="M22" s="12"/>
      <c r="N22" s="12"/>
      <c r="O22" s="12"/>
      <c r="P22" s="12"/>
      <c r="Q22" s="12"/>
      <c r="R22" s="12"/>
      <c r="S22" s="12"/>
      <c r="T22" s="12"/>
      <c r="U22" s="12"/>
      <c r="V22" s="12"/>
      <c r="W22" s="12"/>
    </row>
    <row r="23" spans="1:23" x14ac:dyDescent="0.3">
      <c r="A23" s="12"/>
      <c r="B23" s="12"/>
      <c r="C23" s="12"/>
      <c r="D23" s="12"/>
      <c r="E23" s="12"/>
      <c r="F23" s="12"/>
      <c r="G23" s="12"/>
      <c r="H23" s="12"/>
      <c r="I23" s="12"/>
      <c r="J23" s="12"/>
      <c r="K23" s="12"/>
      <c r="L23" s="12"/>
      <c r="M23" s="12"/>
      <c r="N23" s="12"/>
      <c r="O23" s="12"/>
      <c r="P23" s="12"/>
      <c r="Q23" s="12"/>
      <c r="R23" s="12"/>
      <c r="S23" s="12"/>
      <c r="T23" s="12"/>
      <c r="U23" s="12"/>
      <c r="V23" s="12"/>
      <c r="W23" s="12"/>
    </row>
    <row r="24" spans="1:23" x14ac:dyDescent="0.3">
      <c r="A24" s="12"/>
      <c r="B24" s="12"/>
      <c r="C24" s="12"/>
      <c r="D24" s="12"/>
      <c r="E24" s="12"/>
      <c r="F24" s="12"/>
      <c r="G24" s="12"/>
      <c r="H24" s="12"/>
      <c r="I24" s="12"/>
      <c r="J24" s="12"/>
      <c r="K24" s="12"/>
      <c r="L24" s="12"/>
      <c r="M24" s="12"/>
      <c r="N24" s="12"/>
      <c r="O24" s="12"/>
      <c r="P24" s="12"/>
      <c r="Q24" s="12"/>
      <c r="R24" s="12"/>
      <c r="S24" s="12"/>
      <c r="T24" s="12"/>
      <c r="U24" s="12"/>
      <c r="V24" s="12"/>
      <c r="W24" s="12"/>
    </row>
    <row r="25" spans="1:23" x14ac:dyDescent="0.3">
      <c r="A25" s="12"/>
      <c r="B25" s="12"/>
      <c r="C25" s="12"/>
      <c r="D25" s="12"/>
      <c r="E25" s="12"/>
      <c r="F25" s="12"/>
      <c r="G25" s="12"/>
      <c r="H25" s="12"/>
      <c r="I25" s="12"/>
      <c r="J25" s="12"/>
      <c r="K25" s="12"/>
      <c r="L25" s="12"/>
      <c r="M25" s="12"/>
      <c r="N25" s="12"/>
      <c r="O25" s="12"/>
      <c r="P25" s="12"/>
      <c r="Q25" s="12"/>
      <c r="R25" s="12"/>
      <c r="S25" s="12"/>
      <c r="T25" s="12"/>
      <c r="U25" s="12"/>
      <c r="V25" s="12"/>
      <c r="W25" s="12"/>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L2" sqref="L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307</v>
      </c>
      <c r="C2" s="3" t="s">
        <v>13</v>
      </c>
      <c r="D2" s="4">
        <v>49</v>
      </c>
      <c r="E2" s="4">
        <v>84</v>
      </c>
      <c r="F2" s="4">
        <v>98</v>
      </c>
      <c r="G2" s="4">
        <v>67</v>
      </c>
      <c r="H2" s="4">
        <v>41</v>
      </c>
      <c r="I2" s="5">
        <f>SUM(D2:H2)</f>
        <v>339</v>
      </c>
      <c r="J2" s="5">
        <v>500</v>
      </c>
      <c r="K2" s="6">
        <f>I2/J2</f>
        <v>0.67800000000000005</v>
      </c>
      <c r="L2" s="7">
        <f>100%-K2</f>
        <v>0.32199999999999995</v>
      </c>
    </row>
    <row r="3" spans="1:12" x14ac:dyDescent="0.3">
      <c r="A3" s="2" t="s">
        <v>14</v>
      </c>
      <c r="B3" s="3" t="s">
        <v>15</v>
      </c>
      <c r="C3" s="3" t="s">
        <v>16</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17</v>
      </c>
      <c r="B4" s="3" t="s">
        <v>18</v>
      </c>
      <c r="C4" s="3" t="s">
        <v>19</v>
      </c>
      <c r="D4" s="4">
        <v>45</v>
      </c>
      <c r="E4" s="4">
        <v>79</v>
      </c>
      <c r="F4" s="4">
        <v>88</v>
      </c>
      <c r="G4" s="4">
        <v>73</v>
      </c>
      <c r="H4" s="4">
        <v>94</v>
      </c>
      <c r="I4" s="5">
        <f t="shared" si="0"/>
        <v>379</v>
      </c>
      <c r="J4" s="5">
        <v>500</v>
      </c>
      <c r="K4" s="6">
        <f t="shared" si="1"/>
        <v>0.75800000000000001</v>
      </c>
      <c r="L4" s="7">
        <f t="shared" si="2"/>
        <v>0.24199999999999999</v>
      </c>
    </row>
    <row r="5" spans="1:12" x14ac:dyDescent="0.3">
      <c r="A5" s="2" t="s">
        <v>20</v>
      </c>
      <c r="B5" s="3" t="s">
        <v>21</v>
      </c>
      <c r="C5" s="3" t="s">
        <v>22</v>
      </c>
      <c r="D5" s="4">
        <v>52</v>
      </c>
      <c r="E5" s="4">
        <v>99</v>
      </c>
      <c r="F5" s="4">
        <v>13</v>
      </c>
      <c r="G5" s="4">
        <v>95</v>
      </c>
      <c r="H5" s="4">
        <v>29</v>
      </c>
      <c r="I5" s="5">
        <f t="shared" si="0"/>
        <v>288</v>
      </c>
      <c r="J5" s="5">
        <v>500</v>
      </c>
      <c r="K5" s="6">
        <f t="shared" si="1"/>
        <v>0.57599999999999996</v>
      </c>
      <c r="L5" s="7">
        <f t="shared" si="2"/>
        <v>0.42400000000000004</v>
      </c>
    </row>
    <row r="6" spans="1:12" x14ac:dyDescent="0.3">
      <c r="A6" s="2" t="s">
        <v>23</v>
      </c>
      <c r="B6" s="3" t="s">
        <v>24</v>
      </c>
      <c r="C6" s="3" t="s">
        <v>25</v>
      </c>
      <c r="D6" s="4">
        <v>35</v>
      </c>
      <c r="E6" s="4">
        <v>54</v>
      </c>
      <c r="F6" s="4">
        <v>49</v>
      </c>
      <c r="G6" s="4">
        <v>26</v>
      </c>
      <c r="H6" s="4">
        <v>49</v>
      </c>
      <c r="I6" s="5">
        <f t="shared" si="0"/>
        <v>213</v>
      </c>
      <c r="J6" s="5">
        <v>500</v>
      </c>
      <c r="K6" s="6">
        <f t="shared" si="1"/>
        <v>0.42599999999999999</v>
      </c>
      <c r="L6" s="7">
        <f t="shared" si="2"/>
        <v>0.57400000000000007</v>
      </c>
    </row>
    <row r="7" spans="1:12" x14ac:dyDescent="0.3">
      <c r="A7" s="2" t="s">
        <v>26</v>
      </c>
      <c r="B7" s="3" t="s">
        <v>27</v>
      </c>
      <c r="C7" s="3" t="s">
        <v>28</v>
      </c>
      <c r="D7" s="4">
        <v>86</v>
      </c>
      <c r="E7" s="4">
        <v>31</v>
      </c>
      <c r="F7" s="4">
        <v>23</v>
      </c>
      <c r="G7" s="4">
        <v>48</v>
      </c>
      <c r="H7" s="4">
        <v>77</v>
      </c>
      <c r="I7" s="5">
        <f t="shared" si="0"/>
        <v>265</v>
      </c>
      <c r="J7" s="5">
        <v>500</v>
      </c>
      <c r="K7" s="6">
        <f t="shared" si="1"/>
        <v>0.53</v>
      </c>
      <c r="L7" s="7">
        <f t="shared" si="2"/>
        <v>0.47</v>
      </c>
    </row>
    <row r="8" spans="1:12" x14ac:dyDescent="0.3">
      <c r="A8" s="2" t="s">
        <v>29</v>
      </c>
      <c r="B8" s="3" t="s">
        <v>30</v>
      </c>
      <c r="C8" s="3" t="s">
        <v>31</v>
      </c>
      <c r="D8" s="4">
        <v>84</v>
      </c>
      <c r="E8" s="4">
        <v>28</v>
      </c>
      <c r="F8" s="4">
        <v>98</v>
      </c>
      <c r="G8" s="4">
        <v>80</v>
      </c>
      <c r="H8" s="4">
        <v>79</v>
      </c>
      <c r="I8" s="5">
        <f t="shared" si="0"/>
        <v>369</v>
      </c>
      <c r="J8" s="5">
        <v>500</v>
      </c>
      <c r="K8" s="6">
        <f t="shared" si="1"/>
        <v>0.73799999999999999</v>
      </c>
      <c r="L8" s="7">
        <f t="shared" si="2"/>
        <v>0.26200000000000001</v>
      </c>
    </row>
    <row r="9" spans="1:12" x14ac:dyDescent="0.3">
      <c r="A9" s="2" t="s">
        <v>32</v>
      </c>
      <c r="B9" s="3" t="s">
        <v>33</v>
      </c>
      <c r="C9" s="3" t="s">
        <v>34</v>
      </c>
      <c r="D9" s="4">
        <v>73</v>
      </c>
      <c r="E9" s="4">
        <v>97</v>
      </c>
      <c r="F9" s="4">
        <v>38</v>
      </c>
      <c r="G9" s="4">
        <v>24</v>
      </c>
      <c r="H9" s="4">
        <v>53</v>
      </c>
      <c r="I9" s="5">
        <f t="shared" si="0"/>
        <v>285</v>
      </c>
      <c r="J9" s="5">
        <v>500</v>
      </c>
      <c r="K9" s="6">
        <f t="shared" si="1"/>
        <v>0.56999999999999995</v>
      </c>
      <c r="L9" s="7">
        <f t="shared" si="2"/>
        <v>0.43000000000000005</v>
      </c>
    </row>
    <row r="10" spans="1:12" x14ac:dyDescent="0.3">
      <c r="A10" s="2" t="s">
        <v>35</v>
      </c>
      <c r="B10" s="3" t="s">
        <v>36</v>
      </c>
      <c r="C10" s="3" t="s">
        <v>13</v>
      </c>
      <c r="D10" s="4">
        <v>54</v>
      </c>
      <c r="E10" s="4">
        <v>26</v>
      </c>
      <c r="F10" s="4">
        <v>53</v>
      </c>
      <c r="G10" s="4">
        <v>36</v>
      </c>
      <c r="H10" s="4">
        <v>20</v>
      </c>
      <c r="I10" s="5">
        <f t="shared" si="0"/>
        <v>189</v>
      </c>
      <c r="J10" s="5">
        <v>500</v>
      </c>
      <c r="K10" s="6">
        <f t="shared" si="1"/>
        <v>0.378</v>
      </c>
      <c r="L10" s="7">
        <f t="shared" si="2"/>
        <v>0.622</v>
      </c>
    </row>
    <row r="11" spans="1:12" x14ac:dyDescent="0.3">
      <c r="A11" s="2" t="s">
        <v>37</v>
      </c>
      <c r="B11" s="3" t="s">
        <v>38</v>
      </c>
      <c r="C11" s="3" t="s">
        <v>16</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39</v>
      </c>
      <c r="B12" s="3" t="s">
        <v>40</v>
      </c>
      <c r="C12" s="3" t="s">
        <v>19</v>
      </c>
      <c r="D12" s="4">
        <v>63</v>
      </c>
      <c r="E12" s="4">
        <v>17</v>
      </c>
      <c r="F12" s="4">
        <v>40</v>
      </c>
      <c r="G12" s="4">
        <v>48</v>
      </c>
      <c r="H12" s="4">
        <v>51</v>
      </c>
      <c r="I12" s="5">
        <f t="shared" si="0"/>
        <v>219</v>
      </c>
      <c r="J12" s="5">
        <v>500</v>
      </c>
      <c r="K12" s="6">
        <f t="shared" si="1"/>
        <v>0.438</v>
      </c>
      <c r="L12" s="7">
        <f t="shared" si="2"/>
        <v>0.56200000000000006</v>
      </c>
    </row>
    <row r="13" spans="1:12" x14ac:dyDescent="0.3">
      <c r="A13" s="2" t="s">
        <v>41</v>
      </c>
      <c r="B13" s="3" t="s">
        <v>42</v>
      </c>
      <c r="C13" s="3" t="s">
        <v>22</v>
      </c>
      <c r="D13" s="4">
        <v>79</v>
      </c>
      <c r="E13" s="4">
        <v>99</v>
      </c>
      <c r="F13" s="4">
        <v>95</v>
      </c>
      <c r="G13" s="4">
        <v>12</v>
      </c>
      <c r="H13" s="4">
        <v>91</v>
      </c>
      <c r="I13" s="5">
        <f t="shared" si="0"/>
        <v>376</v>
      </c>
      <c r="J13" s="5">
        <v>500</v>
      </c>
      <c r="K13" s="6">
        <f t="shared" si="1"/>
        <v>0.752</v>
      </c>
      <c r="L13" s="7">
        <f t="shared" si="2"/>
        <v>0.248</v>
      </c>
    </row>
    <row r="14" spans="1:12" x14ac:dyDescent="0.3">
      <c r="A14" s="2" t="s">
        <v>43</v>
      </c>
      <c r="B14" s="3" t="s">
        <v>44</v>
      </c>
      <c r="C14" s="3" t="s">
        <v>25</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45</v>
      </c>
      <c r="B15" s="3" t="s">
        <v>46</v>
      </c>
      <c r="C15" s="3" t="s">
        <v>28</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47</v>
      </c>
      <c r="B16" s="3" t="s">
        <v>48</v>
      </c>
      <c r="C16" s="3" t="s">
        <v>31</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49</v>
      </c>
      <c r="B17" s="3" t="s">
        <v>50</v>
      </c>
      <c r="C17" s="3" t="s">
        <v>34</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51</v>
      </c>
      <c r="B18" s="3" t="s">
        <v>52</v>
      </c>
      <c r="C18" s="3" t="s">
        <v>13</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53</v>
      </c>
      <c r="B19" s="3" t="s">
        <v>54</v>
      </c>
      <c r="C19" s="3" t="s">
        <v>16</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55</v>
      </c>
      <c r="B20" s="3" t="s">
        <v>56</v>
      </c>
      <c r="C20" s="3" t="s">
        <v>19</v>
      </c>
      <c r="D20" s="4">
        <v>19</v>
      </c>
      <c r="E20" s="4">
        <v>34</v>
      </c>
      <c r="F20" s="4">
        <v>64</v>
      </c>
      <c r="G20" s="4">
        <v>65</v>
      </c>
      <c r="H20" s="4">
        <v>70</v>
      </c>
      <c r="I20" s="5">
        <f t="shared" si="0"/>
        <v>252</v>
      </c>
      <c r="J20" s="5">
        <v>500</v>
      </c>
      <c r="K20" s="6">
        <f t="shared" si="1"/>
        <v>0.504</v>
      </c>
      <c r="L20" s="7">
        <f t="shared" si="2"/>
        <v>0.496</v>
      </c>
    </row>
    <row r="21" spans="1:12" x14ac:dyDescent="0.3">
      <c r="A21" s="2" t="s">
        <v>57</v>
      </c>
      <c r="B21" s="3" t="s">
        <v>58</v>
      </c>
      <c r="C21" s="3" t="s">
        <v>22</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59</v>
      </c>
      <c r="B22" s="3" t="s">
        <v>60</v>
      </c>
      <c r="C22" s="3" t="s">
        <v>25</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61</v>
      </c>
      <c r="B23" s="3" t="s">
        <v>62</v>
      </c>
      <c r="C23" s="3" t="s">
        <v>28</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63</v>
      </c>
      <c r="B24" s="3" t="s">
        <v>64</v>
      </c>
      <c r="C24" s="3" t="s">
        <v>31</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65</v>
      </c>
      <c r="B25" s="3" t="s">
        <v>66</v>
      </c>
      <c r="C25" s="3" t="s">
        <v>34</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67</v>
      </c>
      <c r="B26" s="3" t="s">
        <v>68</v>
      </c>
      <c r="C26" s="3" t="s">
        <v>13</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69</v>
      </c>
      <c r="B27" s="3" t="s">
        <v>70</v>
      </c>
      <c r="C27" s="3" t="s">
        <v>16</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71</v>
      </c>
      <c r="B28" s="3" t="s">
        <v>72</v>
      </c>
      <c r="C28" s="3" t="s">
        <v>19</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73</v>
      </c>
      <c r="B29" s="3" t="s">
        <v>74</v>
      </c>
      <c r="C29" s="3" t="s">
        <v>22</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75</v>
      </c>
      <c r="B30" s="3" t="s">
        <v>76</v>
      </c>
      <c r="C30" s="3" t="s">
        <v>25</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77</v>
      </c>
      <c r="B31" s="3" t="s">
        <v>78</v>
      </c>
      <c r="C31" s="3" t="s">
        <v>28</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79</v>
      </c>
      <c r="B32" s="3" t="s">
        <v>80</v>
      </c>
      <c r="C32" s="3" t="s">
        <v>31</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81</v>
      </c>
      <c r="B33" s="3" t="s">
        <v>82</v>
      </c>
      <c r="C33" s="3" t="s">
        <v>34</v>
      </c>
      <c r="D33" s="4">
        <v>37</v>
      </c>
      <c r="E33" s="4">
        <v>30</v>
      </c>
      <c r="F33" s="4">
        <v>19</v>
      </c>
      <c r="G33" s="4">
        <v>77</v>
      </c>
      <c r="H33" s="4">
        <v>67</v>
      </c>
      <c r="I33" s="5">
        <f t="shared" si="0"/>
        <v>230</v>
      </c>
      <c r="J33" s="5">
        <v>500</v>
      </c>
      <c r="K33" s="6">
        <f t="shared" si="1"/>
        <v>0.46</v>
      </c>
      <c r="L33" s="7">
        <f t="shared" si="2"/>
        <v>0.54</v>
      </c>
    </row>
    <row r="34" spans="1:12" x14ac:dyDescent="0.3">
      <c r="A34" s="2" t="s">
        <v>83</v>
      </c>
      <c r="B34" s="3" t="s">
        <v>84</v>
      </c>
      <c r="C34" s="3" t="s">
        <v>13</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85</v>
      </c>
      <c r="B35" s="3" t="s">
        <v>86</v>
      </c>
      <c r="C35" s="3" t="s">
        <v>16</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87</v>
      </c>
      <c r="B36" s="3" t="s">
        <v>88</v>
      </c>
      <c r="C36" s="3" t="s">
        <v>19</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89</v>
      </c>
      <c r="B37" s="3" t="s">
        <v>90</v>
      </c>
      <c r="C37" s="3" t="s">
        <v>22</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91</v>
      </c>
      <c r="B38" s="3" t="s">
        <v>92</v>
      </c>
      <c r="C38" s="3" t="s">
        <v>25</v>
      </c>
      <c r="D38" s="4">
        <v>91</v>
      </c>
      <c r="E38" s="4">
        <v>13</v>
      </c>
      <c r="F38" s="4">
        <v>79</v>
      </c>
      <c r="G38" s="4">
        <v>85</v>
      </c>
      <c r="H38" s="4">
        <v>67</v>
      </c>
      <c r="I38" s="5">
        <f t="shared" si="0"/>
        <v>335</v>
      </c>
      <c r="J38" s="5">
        <v>500</v>
      </c>
      <c r="K38" s="6">
        <f t="shared" si="1"/>
        <v>0.67</v>
      </c>
      <c r="L38" s="7">
        <f t="shared" si="2"/>
        <v>0.32999999999999996</v>
      </c>
    </row>
    <row r="39" spans="1:12" x14ac:dyDescent="0.3">
      <c r="A39" s="2" t="s">
        <v>93</v>
      </c>
      <c r="B39" s="3" t="s">
        <v>94</v>
      </c>
      <c r="C39" s="3" t="s">
        <v>28</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95</v>
      </c>
      <c r="B40" s="3" t="s">
        <v>96</v>
      </c>
      <c r="C40" s="3" t="s">
        <v>31</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97</v>
      </c>
      <c r="B41" s="3" t="s">
        <v>98</v>
      </c>
      <c r="C41" s="3" t="s">
        <v>34</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99</v>
      </c>
      <c r="B42" s="3" t="s">
        <v>100</v>
      </c>
      <c r="C42" s="3" t="s">
        <v>13</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101</v>
      </c>
      <c r="B43" s="3" t="s">
        <v>102</v>
      </c>
      <c r="C43" s="3" t="s">
        <v>16</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103</v>
      </c>
      <c r="B44" s="3" t="s">
        <v>104</v>
      </c>
      <c r="C44" s="3" t="s">
        <v>19</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105</v>
      </c>
      <c r="B45" s="3" t="s">
        <v>106</v>
      </c>
      <c r="C45" s="3" t="s">
        <v>22</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107</v>
      </c>
      <c r="B46" s="3" t="s">
        <v>108</v>
      </c>
      <c r="C46" s="3" t="s">
        <v>25</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109</v>
      </c>
      <c r="B47" s="3" t="s">
        <v>110</v>
      </c>
      <c r="C47" s="3" t="s">
        <v>28</v>
      </c>
      <c r="D47" s="4">
        <v>49</v>
      </c>
      <c r="E47" s="4">
        <v>82</v>
      </c>
      <c r="F47" s="4">
        <v>95</v>
      </c>
      <c r="G47" s="4">
        <v>46</v>
      </c>
      <c r="H47" s="4">
        <v>78</v>
      </c>
      <c r="I47" s="5">
        <f t="shared" si="0"/>
        <v>350</v>
      </c>
      <c r="J47" s="5">
        <v>500</v>
      </c>
      <c r="K47" s="6">
        <f t="shared" si="1"/>
        <v>0.7</v>
      </c>
      <c r="L47" s="7">
        <f t="shared" si="2"/>
        <v>0.30000000000000004</v>
      </c>
    </row>
    <row r="48" spans="1:12" x14ac:dyDescent="0.3">
      <c r="A48" s="2" t="s">
        <v>111</v>
      </c>
      <c r="B48" s="3" t="s">
        <v>112</v>
      </c>
      <c r="C48" s="3" t="s">
        <v>31</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113</v>
      </c>
      <c r="B49" s="3" t="s">
        <v>114</v>
      </c>
      <c r="C49" s="3" t="s">
        <v>34</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115</v>
      </c>
      <c r="B50" s="3" t="s">
        <v>116</v>
      </c>
      <c r="C50" s="3" t="s">
        <v>13</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117</v>
      </c>
      <c r="B51" s="3" t="s">
        <v>118</v>
      </c>
      <c r="C51" s="3" t="s">
        <v>16</v>
      </c>
      <c r="D51" s="4">
        <v>17</v>
      </c>
      <c r="E51" s="4">
        <v>84</v>
      </c>
      <c r="F51" s="4">
        <v>90</v>
      </c>
      <c r="G51" s="4">
        <v>77</v>
      </c>
      <c r="H51" s="4">
        <v>72</v>
      </c>
      <c r="I51" s="5">
        <f t="shared" si="0"/>
        <v>340</v>
      </c>
      <c r="J51" s="5">
        <v>500</v>
      </c>
      <c r="K51" s="6">
        <f t="shared" si="1"/>
        <v>0.68</v>
      </c>
      <c r="L51" s="7">
        <f t="shared" si="2"/>
        <v>0.31999999999999995</v>
      </c>
    </row>
    <row r="52" spans="1:12" x14ac:dyDescent="0.3">
      <c r="A52" s="2" t="s">
        <v>119</v>
      </c>
      <c r="B52" s="3" t="s">
        <v>120</v>
      </c>
      <c r="C52" s="3" t="s">
        <v>19</v>
      </c>
      <c r="D52" s="4">
        <v>52</v>
      </c>
      <c r="E52" s="4">
        <v>36</v>
      </c>
      <c r="F52" s="4">
        <v>84</v>
      </c>
      <c r="G52" s="4">
        <v>41</v>
      </c>
      <c r="H52" s="4">
        <v>57</v>
      </c>
      <c r="I52" s="5">
        <f t="shared" si="0"/>
        <v>270</v>
      </c>
      <c r="J52" s="5">
        <v>500</v>
      </c>
      <c r="K52" s="6">
        <f t="shared" si="1"/>
        <v>0.54</v>
      </c>
      <c r="L52" s="7">
        <f t="shared" si="2"/>
        <v>0.45999999999999996</v>
      </c>
    </row>
    <row r="53" spans="1:12" x14ac:dyDescent="0.3">
      <c r="A53" s="2" t="s">
        <v>121</v>
      </c>
      <c r="B53" s="3" t="s">
        <v>122</v>
      </c>
      <c r="C53" s="3" t="s">
        <v>22</v>
      </c>
      <c r="D53" s="4">
        <v>65</v>
      </c>
      <c r="E53" s="4">
        <v>67</v>
      </c>
      <c r="F53" s="4">
        <v>72</v>
      </c>
      <c r="G53" s="4">
        <v>22</v>
      </c>
      <c r="H53" s="4">
        <v>23</v>
      </c>
      <c r="I53" s="5">
        <f t="shared" si="0"/>
        <v>249</v>
      </c>
      <c r="J53" s="5">
        <v>500</v>
      </c>
      <c r="K53" s="6">
        <f t="shared" si="1"/>
        <v>0.498</v>
      </c>
      <c r="L53" s="7">
        <f t="shared" si="2"/>
        <v>0.502</v>
      </c>
    </row>
    <row r="54" spans="1:12" x14ac:dyDescent="0.3">
      <c r="A54" s="2" t="s">
        <v>123</v>
      </c>
      <c r="B54" s="3" t="s">
        <v>124</v>
      </c>
      <c r="C54" s="3" t="s">
        <v>25</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125</v>
      </c>
      <c r="B55" s="3" t="s">
        <v>126</v>
      </c>
      <c r="C55" s="3" t="s">
        <v>28</v>
      </c>
      <c r="D55" s="4">
        <v>23</v>
      </c>
      <c r="E55" s="4">
        <v>14</v>
      </c>
      <c r="F55" s="4">
        <v>15</v>
      </c>
      <c r="G55" s="4">
        <v>58</v>
      </c>
      <c r="H55" s="4">
        <v>79</v>
      </c>
      <c r="I55" s="5">
        <f t="shared" si="0"/>
        <v>189</v>
      </c>
      <c r="J55" s="5">
        <v>500</v>
      </c>
      <c r="K55" s="6">
        <f t="shared" si="1"/>
        <v>0.378</v>
      </c>
      <c r="L55" s="7">
        <f t="shared" si="2"/>
        <v>0.622</v>
      </c>
    </row>
    <row r="56" spans="1:12" x14ac:dyDescent="0.3">
      <c r="A56" s="2" t="s">
        <v>127</v>
      </c>
      <c r="B56" s="3" t="s">
        <v>128</v>
      </c>
      <c r="C56" s="3" t="s">
        <v>31</v>
      </c>
      <c r="D56" s="4">
        <v>15</v>
      </c>
      <c r="E56" s="4">
        <v>67</v>
      </c>
      <c r="F56" s="4">
        <v>48</v>
      </c>
      <c r="G56" s="4">
        <v>95</v>
      </c>
      <c r="H56" s="4">
        <v>35</v>
      </c>
      <c r="I56" s="5">
        <f t="shared" si="0"/>
        <v>260</v>
      </c>
      <c r="J56" s="5">
        <v>500</v>
      </c>
      <c r="K56" s="6">
        <f t="shared" si="1"/>
        <v>0.52</v>
      </c>
      <c r="L56" s="7">
        <f t="shared" si="2"/>
        <v>0.48</v>
      </c>
    </row>
    <row r="57" spans="1:12" x14ac:dyDescent="0.3">
      <c r="A57" s="2" t="s">
        <v>129</v>
      </c>
      <c r="B57" s="3" t="s">
        <v>130</v>
      </c>
      <c r="C57" s="3" t="s">
        <v>34</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131</v>
      </c>
      <c r="B58" s="3" t="s">
        <v>132</v>
      </c>
      <c r="C58" s="3" t="s">
        <v>13</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133</v>
      </c>
      <c r="B59" s="3" t="s">
        <v>134</v>
      </c>
      <c r="C59" s="3" t="s">
        <v>16</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135</v>
      </c>
      <c r="B60" s="3" t="s">
        <v>136</v>
      </c>
      <c r="C60" s="3" t="s">
        <v>19</v>
      </c>
      <c r="D60" s="4">
        <v>83</v>
      </c>
      <c r="E60" s="4">
        <v>12</v>
      </c>
      <c r="F60" s="4">
        <v>70</v>
      </c>
      <c r="G60" s="4">
        <v>83</v>
      </c>
      <c r="H60" s="4">
        <v>52</v>
      </c>
      <c r="I60" s="5">
        <f t="shared" si="0"/>
        <v>300</v>
      </c>
      <c r="J60" s="5">
        <v>500</v>
      </c>
      <c r="K60" s="6">
        <f t="shared" si="1"/>
        <v>0.6</v>
      </c>
      <c r="L60" s="7">
        <f t="shared" si="2"/>
        <v>0.4</v>
      </c>
    </row>
    <row r="61" spans="1:12" x14ac:dyDescent="0.3">
      <c r="A61" s="2" t="s">
        <v>137</v>
      </c>
      <c r="B61" s="3" t="s">
        <v>138</v>
      </c>
      <c r="C61" s="3" t="s">
        <v>22</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139</v>
      </c>
      <c r="B62" s="3" t="s">
        <v>140</v>
      </c>
      <c r="C62" s="3" t="s">
        <v>25</v>
      </c>
      <c r="D62" s="4">
        <v>40</v>
      </c>
      <c r="E62" s="4">
        <v>70</v>
      </c>
      <c r="F62" s="4">
        <v>19</v>
      </c>
      <c r="G62" s="4">
        <v>36</v>
      </c>
      <c r="H62" s="4">
        <v>52</v>
      </c>
      <c r="I62" s="5">
        <f t="shared" si="0"/>
        <v>217</v>
      </c>
      <c r="J62" s="5">
        <v>500</v>
      </c>
      <c r="K62" s="6">
        <f t="shared" si="1"/>
        <v>0.434</v>
      </c>
      <c r="L62" s="7">
        <f t="shared" si="2"/>
        <v>0.56600000000000006</v>
      </c>
    </row>
    <row r="63" spans="1:12" x14ac:dyDescent="0.3">
      <c r="A63" s="2" t="s">
        <v>141</v>
      </c>
      <c r="B63" s="3" t="s">
        <v>142</v>
      </c>
      <c r="C63" s="3" t="s">
        <v>28</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143</v>
      </c>
      <c r="B64" s="3" t="s">
        <v>144</v>
      </c>
      <c r="C64" s="3" t="s">
        <v>31</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145</v>
      </c>
      <c r="B65" s="3" t="s">
        <v>146</v>
      </c>
      <c r="C65" s="3" t="s">
        <v>34</v>
      </c>
      <c r="D65" s="4">
        <v>75</v>
      </c>
      <c r="E65" s="4">
        <v>75</v>
      </c>
      <c r="F65" s="4">
        <v>89</v>
      </c>
      <c r="G65" s="4">
        <v>97</v>
      </c>
      <c r="H65" s="4">
        <v>49</v>
      </c>
      <c r="I65" s="5">
        <f t="shared" si="0"/>
        <v>385</v>
      </c>
      <c r="J65" s="5">
        <v>500</v>
      </c>
      <c r="K65" s="6">
        <f t="shared" si="1"/>
        <v>0.77</v>
      </c>
      <c r="L65" s="7">
        <f t="shared" si="2"/>
        <v>0.22999999999999998</v>
      </c>
    </row>
    <row r="66" spans="1:12" x14ac:dyDescent="0.3">
      <c r="A66" s="2" t="s">
        <v>147</v>
      </c>
      <c r="B66" s="3" t="s">
        <v>148</v>
      </c>
      <c r="C66" s="3" t="s">
        <v>13</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149</v>
      </c>
      <c r="B67" s="3" t="s">
        <v>150</v>
      </c>
      <c r="C67" s="3" t="s">
        <v>16</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151</v>
      </c>
      <c r="B68" s="3" t="s">
        <v>152</v>
      </c>
      <c r="C68" s="3" t="s">
        <v>19</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153</v>
      </c>
      <c r="B69" s="3" t="s">
        <v>154</v>
      </c>
      <c r="C69" s="3" t="s">
        <v>22</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155</v>
      </c>
      <c r="B70" s="3" t="s">
        <v>156</v>
      </c>
      <c r="C70" s="3" t="s">
        <v>25</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157</v>
      </c>
      <c r="B71" s="3" t="s">
        <v>158</v>
      </c>
      <c r="C71" s="3" t="s">
        <v>28</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159</v>
      </c>
      <c r="B72" s="3" t="s">
        <v>160</v>
      </c>
      <c r="C72" s="3" t="s">
        <v>31</v>
      </c>
      <c r="D72" s="4">
        <v>68</v>
      </c>
      <c r="E72" s="4">
        <v>36</v>
      </c>
      <c r="F72" s="4">
        <v>15</v>
      </c>
      <c r="G72" s="4">
        <v>20</v>
      </c>
      <c r="H72" s="4">
        <v>17</v>
      </c>
      <c r="I72" s="5">
        <f t="shared" si="3"/>
        <v>156</v>
      </c>
      <c r="J72" s="5">
        <v>500</v>
      </c>
      <c r="K72" s="6">
        <f t="shared" si="4"/>
        <v>0.312</v>
      </c>
      <c r="L72" s="7">
        <f t="shared" si="5"/>
        <v>0.68799999999999994</v>
      </c>
    </row>
    <row r="73" spans="1:12" x14ac:dyDescent="0.3">
      <c r="A73" s="2" t="s">
        <v>161</v>
      </c>
      <c r="B73" s="3" t="s">
        <v>162</v>
      </c>
      <c r="C73" s="3" t="s">
        <v>34</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163</v>
      </c>
      <c r="B74" s="3" t="s">
        <v>164</v>
      </c>
      <c r="C74" s="3" t="s">
        <v>13</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165</v>
      </c>
      <c r="B75" s="3" t="s">
        <v>166</v>
      </c>
      <c r="C75" s="3" t="s">
        <v>16</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167</v>
      </c>
      <c r="B76" s="3" t="s">
        <v>168</v>
      </c>
      <c r="C76" s="3" t="s">
        <v>19</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169</v>
      </c>
      <c r="B77" s="3" t="s">
        <v>170</v>
      </c>
      <c r="C77" s="3" t="s">
        <v>22</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171</v>
      </c>
      <c r="B78" s="3" t="s">
        <v>172</v>
      </c>
      <c r="C78" s="3" t="s">
        <v>25</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173</v>
      </c>
      <c r="B79" s="3" t="s">
        <v>174</v>
      </c>
      <c r="C79" s="3" t="s">
        <v>28</v>
      </c>
      <c r="D79" s="4">
        <v>50</v>
      </c>
      <c r="E79" s="4">
        <v>44</v>
      </c>
      <c r="F79" s="4">
        <v>46</v>
      </c>
      <c r="G79" s="4">
        <v>13</v>
      </c>
      <c r="H79" s="4">
        <v>92</v>
      </c>
      <c r="I79" s="5">
        <f t="shared" si="3"/>
        <v>245</v>
      </c>
      <c r="J79" s="5">
        <v>500</v>
      </c>
      <c r="K79" s="6">
        <f t="shared" si="4"/>
        <v>0.49</v>
      </c>
      <c r="L79" s="7">
        <f t="shared" si="5"/>
        <v>0.51</v>
      </c>
    </row>
    <row r="80" spans="1:12" x14ac:dyDescent="0.3">
      <c r="A80" s="2" t="s">
        <v>175</v>
      </c>
      <c r="B80" s="3" t="s">
        <v>176</v>
      </c>
      <c r="C80" s="3" t="s">
        <v>31</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177</v>
      </c>
      <c r="B81" s="3" t="s">
        <v>178</v>
      </c>
      <c r="C81" s="3" t="s">
        <v>34</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179</v>
      </c>
      <c r="B82" s="3" t="s">
        <v>180</v>
      </c>
      <c r="C82" s="3" t="s">
        <v>13</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181</v>
      </c>
      <c r="B83" s="3" t="s">
        <v>182</v>
      </c>
      <c r="C83" s="3" t="s">
        <v>16</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183</v>
      </c>
      <c r="B84" s="3" t="s">
        <v>184</v>
      </c>
      <c r="C84" s="3" t="s">
        <v>19</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185</v>
      </c>
      <c r="B85" s="3" t="s">
        <v>186</v>
      </c>
      <c r="C85" s="3" t="s">
        <v>22</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187</v>
      </c>
      <c r="B86" s="3" t="s">
        <v>188</v>
      </c>
      <c r="C86" s="3" t="s">
        <v>25</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189</v>
      </c>
      <c r="B87" s="3" t="s">
        <v>190</v>
      </c>
      <c r="C87" s="3" t="s">
        <v>28</v>
      </c>
      <c r="D87" s="4">
        <v>46</v>
      </c>
      <c r="E87" s="4">
        <v>19</v>
      </c>
      <c r="F87" s="4">
        <v>59</v>
      </c>
      <c r="G87" s="4">
        <v>58</v>
      </c>
      <c r="H87" s="4">
        <v>33</v>
      </c>
      <c r="I87" s="5">
        <f t="shared" si="3"/>
        <v>215</v>
      </c>
      <c r="J87" s="5">
        <v>500</v>
      </c>
      <c r="K87" s="6">
        <f t="shared" si="4"/>
        <v>0.43</v>
      </c>
      <c r="L87" s="7">
        <f t="shared" si="5"/>
        <v>0.57000000000000006</v>
      </c>
    </row>
    <row r="88" spans="1:12" x14ac:dyDescent="0.3">
      <c r="A88" s="2" t="s">
        <v>191</v>
      </c>
      <c r="B88" s="3" t="s">
        <v>192</v>
      </c>
      <c r="C88" s="3" t="s">
        <v>31</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193</v>
      </c>
      <c r="B89" s="3" t="s">
        <v>194</v>
      </c>
      <c r="C89" s="3" t="s">
        <v>34</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195</v>
      </c>
      <c r="B90" s="3" t="s">
        <v>196</v>
      </c>
      <c r="C90" s="3" t="s">
        <v>13</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197</v>
      </c>
      <c r="B91" s="3" t="s">
        <v>198</v>
      </c>
      <c r="C91" s="3" t="s">
        <v>16</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199</v>
      </c>
      <c r="B92" s="3" t="s">
        <v>200</v>
      </c>
      <c r="C92" s="3" t="s">
        <v>19</v>
      </c>
      <c r="D92" s="4">
        <v>80</v>
      </c>
      <c r="E92" s="4">
        <v>73</v>
      </c>
      <c r="F92" s="4">
        <v>21</v>
      </c>
      <c r="G92" s="4">
        <v>72</v>
      </c>
      <c r="H92" s="4">
        <v>54</v>
      </c>
      <c r="I92" s="5">
        <f t="shared" si="3"/>
        <v>300</v>
      </c>
      <c r="J92" s="5">
        <v>500</v>
      </c>
      <c r="K92" s="6">
        <f t="shared" si="4"/>
        <v>0.6</v>
      </c>
      <c r="L92" s="7">
        <f t="shared" si="5"/>
        <v>0.4</v>
      </c>
    </row>
    <row r="93" spans="1:12" x14ac:dyDescent="0.3">
      <c r="A93" s="2" t="s">
        <v>201</v>
      </c>
      <c r="B93" s="3" t="s">
        <v>202</v>
      </c>
      <c r="C93" s="3" t="s">
        <v>22</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203</v>
      </c>
      <c r="B94" s="3" t="s">
        <v>204</v>
      </c>
      <c r="C94" s="3" t="s">
        <v>25</v>
      </c>
      <c r="D94" s="4">
        <v>18</v>
      </c>
      <c r="E94" s="4">
        <v>80</v>
      </c>
      <c r="F94" s="4">
        <v>20</v>
      </c>
      <c r="G94" s="4">
        <v>32</v>
      </c>
      <c r="H94" s="4">
        <v>95</v>
      </c>
      <c r="I94" s="5">
        <f t="shared" si="3"/>
        <v>245</v>
      </c>
      <c r="J94" s="5">
        <v>500</v>
      </c>
      <c r="K94" s="6">
        <f t="shared" si="4"/>
        <v>0.49</v>
      </c>
      <c r="L94" s="7">
        <f t="shared" si="5"/>
        <v>0.51</v>
      </c>
    </row>
    <row r="95" spans="1:12" x14ac:dyDescent="0.3">
      <c r="A95" s="2" t="s">
        <v>205</v>
      </c>
      <c r="B95" s="3" t="s">
        <v>206</v>
      </c>
      <c r="C95" s="3" t="s">
        <v>28</v>
      </c>
      <c r="D95" s="4">
        <v>96</v>
      </c>
      <c r="E95" s="4">
        <v>14</v>
      </c>
      <c r="F95" s="4">
        <v>20</v>
      </c>
      <c r="G95" s="4">
        <v>31</v>
      </c>
      <c r="H95" s="4">
        <v>44</v>
      </c>
      <c r="I95" s="5">
        <f t="shared" si="3"/>
        <v>205</v>
      </c>
      <c r="J95" s="5">
        <v>500</v>
      </c>
      <c r="K95" s="6">
        <f t="shared" si="4"/>
        <v>0.41</v>
      </c>
      <c r="L95" s="7">
        <f t="shared" si="5"/>
        <v>0.59000000000000008</v>
      </c>
    </row>
    <row r="96" spans="1:12" x14ac:dyDescent="0.3">
      <c r="A96" s="2" t="s">
        <v>207</v>
      </c>
      <c r="B96" s="3" t="s">
        <v>208</v>
      </c>
      <c r="C96" s="3" t="s">
        <v>31</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209</v>
      </c>
      <c r="B97" s="3" t="s">
        <v>210</v>
      </c>
      <c r="C97" s="3" t="s">
        <v>34</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211</v>
      </c>
      <c r="B98" s="3" t="s">
        <v>212</v>
      </c>
      <c r="C98" s="3" t="s">
        <v>13</v>
      </c>
      <c r="D98" s="4">
        <v>31</v>
      </c>
      <c r="E98" s="4">
        <v>48</v>
      </c>
      <c r="F98" s="4">
        <v>56</v>
      </c>
      <c r="G98" s="4">
        <v>85</v>
      </c>
      <c r="H98" s="4">
        <v>25</v>
      </c>
      <c r="I98" s="5">
        <f t="shared" si="3"/>
        <v>245</v>
      </c>
      <c r="J98" s="5">
        <v>500</v>
      </c>
      <c r="K98" s="6">
        <f t="shared" si="4"/>
        <v>0.49</v>
      </c>
      <c r="L98" s="7">
        <f t="shared" si="5"/>
        <v>0.51</v>
      </c>
    </row>
    <row r="99" spans="1:12" x14ac:dyDescent="0.3">
      <c r="A99" s="2" t="s">
        <v>213</v>
      </c>
      <c r="B99" s="3" t="s">
        <v>214</v>
      </c>
      <c r="C99" s="3" t="s">
        <v>16</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215</v>
      </c>
      <c r="B100" s="3" t="s">
        <v>216</v>
      </c>
      <c r="C100" s="3" t="s">
        <v>19</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217</v>
      </c>
      <c r="B101" s="3" t="s">
        <v>218</v>
      </c>
      <c r="C101" s="3" t="s">
        <v>22</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219</v>
      </c>
      <c r="B102" s="3" t="s">
        <v>220</v>
      </c>
      <c r="C102" s="3" t="s">
        <v>25</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221</v>
      </c>
      <c r="B103" s="3" t="s">
        <v>222</v>
      </c>
      <c r="C103" s="3" t="s">
        <v>28</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223</v>
      </c>
      <c r="B104" s="3" t="s">
        <v>224</v>
      </c>
      <c r="C104" s="3" t="s">
        <v>31</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225</v>
      </c>
      <c r="B105" s="3" t="s">
        <v>226</v>
      </c>
      <c r="C105" s="3" t="s">
        <v>34</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227</v>
      </c>
      <c r="B106" s="3" t="s">
        <v>228</v>
      </c>
      <c r="C106" s="3" t="s">
        <v>13</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229</v>
      </c>
      <c r="B107" s="3" t="s">
        <v>230</v>
      </c>
      <c r="C107" s="3" t="s">
        <v>16</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231</v>
      </c>
      <c r="B108" s="3" t="s">
        <v>232</v>
      </c>
      <c r="C108" s="3" t="s">
        <v>19</v>
      </c>
      <c r="D108" s="4">
        <v>61</v>
      </c>
      <c r="E108" s="4">
        <v>91</v>
      </c>
      <c r="F108" s="4">
        <v>53</v>
      </c>
      <c r="G108" s="4">
        <v>78</v>
      </c>
      <c r="H108" s="4">
        <v>91</v>
      </c>
      <c r="I108" s="5">
        <f t="shared" si="3"/>
        <v>374</v>
      </c>
      <c r="J108" s="5">
        <v>500</v>
      </c>
      <c r="K108" s="6">
        <f t="shared" si="4"/>
        <v>0.748</v>
      </c>
      <c r="L108" s="7">
        <f t="shared" si="5"/>
        <v>0.252</v>
      </c>
    </row>
    <row r="109" spans="1:12" x14ac:dyDescent="0.3">
      <c r="A109" s="2" t="s">
        <v>233</v>
      </c>
      <c r="B109" s="3" t="s">
        <v>234</v>
      </c>
      <c r="C109" s="3" t="s">
        <v>22</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235</v>
      </c>
      <c r="B110" s="3" t="s">
        <v>236</v>
      </c>
      <c r="C110" s="3" t="s">
        <v>25</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237</v>
      </c>
      <c r="B111" s="3" t="s">
        <v>238</v>
      </c>
      <c r="C111" s="3" t="s">
        <v>28</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239</v>
      </c>
      <c r="B112" s="3" t="s">
        <v>240</v>
      </c>
      <c r="C112" s="3" t="s">
        <v>31</v>
      </c>
      <c r="D112" s="4">
        <v>39</v>
      </c>
      <c r="E112" s="4">
        <v>52</v>
      </c>
      <c r="F112" s="4">
        <v>72</v>
      </c>
      <c r="G112" s="4">
        <v>99</v>
      </c>
      <c r="H112" s="4">
        <v>58</v>
      </c>
      <c r="I112" s="5">
        <f t="shared" si="3"/>
        <v>320</v>
      </c>
      <c r="J112" s="5">
        <v>500</v>
      </c>
      <c r="K112" s="6">
        <f t="shared" si="4"/>
        <v>0.64</v>
      </c>
      <c r="L112" s="7">
        <f t="shared" si="5"/>
        <v>0.36</v>
      </c>
    </row>
    <row r="113" spans="1:12" x14ac:dyDescent="0.3">
      <c r="A113" s="2" t="s">
        <v>241</v>
      </c>
      <c r="B113" s="3" t="s">
        <v>242</v>
      </c>
      <c r="C113" s="3" t="s">
        <v>34</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243</v>
      </c>
      <c r="B114" s="3" t="s">
        <v>244</v>
      </c>
      <c r="C114" s="3" t="s">
        <v>13</v>
      </c>
      <c r="D114" s="4">
        <v>43</v>
      </c>
      <c r="E114" s="4">
        <v>88</v>
      </c>
      <c r="F114" s="4">
        <v>35</v>
      </c>
      <c r="G114" s="4">
        <v>54</v>
      </c>
      <c r="H114" s="4">
        <v>91</v>
      </c>
      <c r="I114" s="5">
        <f t="shared" si="3"/>
        <v>311</v>
      </c>
      <c r="J114" s="5">
        <v>500</v>
      </c>
      <c r="K114" s="6">
        <f t="shared" si="4"/>
        <v>0.622</v>
      </c>
      <c r="L114" s="7">
        <f t="shared" si="5"/>
        <v>0.378</v>
      </c>
    </row>
    <row r="115" spans="1:12" x14ac:dyDescent="0.3">
      <c r="A115" s="2" t="s">
        <v>245</v>
      </c>
      <c r="B115" s="3" t="s">
        <v>246</v>
      </c>
      <c r="C115" s="3" t="s">
        <v>16</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247</v>
      </c>
      <c r="B116" s="3" t="s">
        <v>248</v>
      </c>
      <c r="C116" s="3" t="s">
        <v>19</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249</v>
      </c>
      <c r="B117" s="3" t="s">
        <v>250</v>
      </c>
      <c r="C117" s="3" t="s">
        <v>22</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251</v>
      </c>
      <c r="B118" s="3" t="s">
        <v>252</v>
      </c>
      <c r="C118" s="3" t="s">
        <v>25</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253</v>
      </c>
      <c r="B119" s="3" t="s">
        <v>254</v>
      </c>
      <c r="C119" s="3" t="s">
        <v>28</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255</v>
      </c>
      <c r="B120" s="3" t="s">
        <v>256</v>
      </c>
      <c r="C120" s="3" t="s">
        <v>31</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257</v>
      </c>
      <c r="B121" s="3" t="s">
        <v>258</v>
      </c>
      <c r="C121" s="3" t="s">
        <v>34</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259</v>
      </c>
      <c r="B122" s="3" t="s">
        <v>260</v>
      </c>
      <c r="C122" s="3" t="s">
        <v>13</v>
      </c>
      <c r="D122" s="4">
        <v>91</v>
      </c>
      <c r="E122" s="4">
        <v>38</v>
      </c>
      <c r="F122" s="4">
        <v>33</v>
      </c>
      <c r="G122" s="4">
        <v>55</v>
      </c>
      <c r="H122" s="4">
        <v>83</v>
      </c>
      <c r="I122" s="5">
        <f t="shared" si="3"/>
        <v>300</v>
      </c>
      <c r="J122" s="5">
        <v>500</v>
      </c>
      <c r="K122" s="6">
        <f t="shared" si="4"/>
        <v>0.6</v>
      </c>
      <c r="L122" s="7">
        <f t="shared" si="5"/>
        <v>0.4</v>
      </c>
    </row>
    <row r="123" spans="1:12" x14ac:dyDescent="0.3">
      <c r="A123" s="2" t="s">
        <v>261</v>
      </c>
      <c r="B123" s="3" t="s">
        <v>262</v>
      </c>
      <c r="C123" s="3" t="s">
        <v>16</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263</v>
      </c>
      <c r="B124" s="3" t="s">
        <v>264</v>
      </c>
      <c r="C124" s="3" t="s">
        <v>19</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265</v>
      </c>
      <c r="B125" s="3" t="s">
        <v>266</v>
      </c>
      <c r="C125" s="3" t="s">
        <v>22</v>
      </c>
      <c r="D125" s="4">
        <v>26</v>
      </c>
      <c r="E125" s="4">
        <v>16</v>
      </c>
      <c r="F125" s="4">
        <v>61</v>
      </c>
      <c r="G125" s="4">
        <v>92</v>
      </c>
      <c r="H125" s="4">
        <v>50</v>
      </c>
      <c r="I125" s="5">
        <f t="shared" si="3"/>
        <v>245</v>
      </c>
      <c r="J125" s="5">
        <v>500</v>
      </c>
      <c r="K125" s="6">
        <f t="shared" si="4"/>
        <v>0.49</v>
      </c>
      <c r="L125" s="7">
        <f t="shared" si="5"/>
        <v>0.51</v>
      </c>
    </row>
    <row r="126" spans="1:12" x14ac:dyDescent="0.3">
      <c r="A126" s="2" t="s">
        <v>267</v>
      </c>
      <c r="B126" s="3" t="s">
        <v>268</v>
      </c>
      <c r="C126" s="3" t="s">
        <v>25</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269</v>
      </c>
      <c r="B127" s="3" t="s">
        <v>270</v>
      </c>
      <c r="C127" s="3" t="s">
        <v>28</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271</v>
      </c>
      <c r="B128" s="3" t="s">
        <v>272</v>
      </c>
      <c r="C128" s="3" t="s">
        <v>31</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273</v>
      </c>
      <c r="B129" s="3" t="s">
        <v>274</v>
      </c>
      <c r="C129" s="3" t="s">
        <v>34</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275</v>
      </c>
      <c r="B130" s="3" t="s">
        <v>276</v>
      </c>
      <c r="C130" s="3" t="s">
        <v>13</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277</v>
      </c>
      <c r="B131" s="3" t="s">
        <v>278</v>
      </c>
      <c r="C131" s="3" t="s">
        <v>16</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279</v>
      </c>
      <c r="B132" s="3" t="s">
        <v>280</v>
      </c>
      <c r="C132" s="3" t="s">
        <v>19</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281</v>
      </c>
      <c r="B133" s="3" t="s">
        <v>282</v>
      </c>
      <c r="C133" s="3" t="s">
        <v>22</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283</v>
      </c>
      <c r="B134" s="3" t="s">
        <v>284</v>
      </c>
      <c r="C134" s="3" t="s">
        <v>25</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285</v>
      </c>
      <c r="B135" s="3" t="s">
        <v>286</v>
      </c>
      <c r="C135" s="3" t="s">
        <v>28</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287</v>
      </c>
      <c r="B136" s="3" t="s">
        <v>288</v>
      </c>
      <c r="C136" s="3" t="s">
        <v>31</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289</v>
      </c>
      <c r="B137" s="3" t="s">
        <v>290</v>
      </c>
      <c r="C137" s="3" t="s">
        <v>34</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291</v>
      </c>
      <c r="B138" s="3" t="s">
        <v>292</v>
      </c>
      <c r="C138" s="3" t="s">
        <v>13</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293</v>
      </c>
      <c r="B139" s="3" t="s">
        <v>294</v>
      </c>
      <c r="C139" s="3" t="s">
        <v>16</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295</v>
      </c>
      <c r="B140" s="3" t="s">
        <v>296</v>
      </c>
      <c r="C140" s="3" t="s">
        <v>19</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297</v>
      </c>
      <c r="B141" s="3" t="s">
        <v>298</v>
      </c>
      <c r="C141" s="3" t="s">
        <v>22</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299</v>
      </c>
      <c r="B142" s="3" t="s">
        <v>300</v>
      </c>
      <c r="C142" s="3" t="s">
        <v>25</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Kashyap K R</cp:lastModifiedBy>
  <dcterms:created xsi:type="dcterms:W3CDTF">2022-05-30T01:30:00Z</dcterms:created>
  <dcterms:modified xsi:type="dcterms:W3CDTF">2025-06-11T14:48:22Z</dcterms:modified>
</cp:coreProperties>
</file>